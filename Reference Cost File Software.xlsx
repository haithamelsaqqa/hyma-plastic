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/Desktop/Prices Sheets 2026 /Reference Files/"/>
    </mc:Choice>
  </mc:AlternateContent>
  <xr:revisionPtr revIDLastSave="0" documentId="8_{126F3915-4866-7D47-A730-3D49CDA287B2}" xr6:coauthVersionLast="47" xr6:coauthVersionMax="47" xr10:uidLastSave="{00000000-0000-0000-0000-000000000000}"/>
  <bookViews>
    <workbookView xWindow="0" yWindow="660" windowWidth="29400" windowHeight="18460" xr2:uid="{0DF0F7A8-AFAC-5040-ACE4-61D8BFFC970B}"/>
  </bookViews>
  <sheets>
    <sheet name="Raw Material" sheetId="5" r:id="rId1"/>
    <sheet name="Recipe" sheetId="3" r:id="rId2"/>
    <sheet name="Cost" sheetId="6" r:id="rId3"/>
  </sheets>
  <externalReferences>
    <externalReference r:id="rId4"/>
  </externalReferences>
  <definedNames>
    <definedName name="_xlnm._FilterDatabase" localSheetId="0" hidden="1">'Raw Material'!$B$8:$F$72</definedName>
    <definedName name="_xlnm.Print_Area" localSheetId="1">Recipe!$A$1:$U$66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6" l="1"/>
  <c r="D52" i="6"/>
  <c r="E52" i="6" s="1"/>
  <c r="H52" i="6" s="1"/>
  <c r="C52" i="6"/>
  <c r="F51" i="6"/>
  <c r="D51" i="6"/>
  <c r="E51" i="6" s="1"/>
  <c r="C51" i="6"/>
  <c r="F50" i="6"/>
  <c r="D50" i="6"/>
  <c r="E50" i="6" s="1"/>
  <c r="H50" i="6" s="1"/>
  <c r="C50" i="6"/>
  <c r="F49" i="6"/>
  <c r="D49" i="6"/>
  <c r="E49" i="6" s="1"/>
  <c r="C49" i="6"/>
  <c r="F48" i="6"/>
  <c r="D48" i="6"/>
  <c r="E48" i="6" s="1"/>
  <c r="H48" i="6" s="1"/>
  <c r="C48" i="6"/>
  <c r="F47" i="6"/>
  <c r="D47" i="6"/>
  <c r="E47" i="6" s="1"/>
  <c r="C47" i="6"/>
  <c r="F46" i="6"/>
  <c r="D46" i="6"/>
  <c r="E46" i="6" s="1"/>
  <c r="C46" i="6"/>
  <c r="F45" i="6"/>
  <c r="D45" i="6"/>
  <c r="E45" i="6" s="1"/>
  <c r="C45" i="6"/>
  <c r="F44" i="6"/>
  <c r="D44" i="6"/>
  <c r="E44" i="6" s="1"/>
  <c r="H44" i="6" s="1"/>
  <c r="C44" i="6"/>
  <c r="F43" i="6"/>
  <c r="D43" i="6"/>
  <c r="E43" i="6" s="1"/>
  <c r="C43" i="6"/>
  <c r="F42" i="6"/>
  <c r="D42" i="6"/>
  <c r="E42" i="6" s="1"/>
  <c r="H42" i="6" s="1"/>
  <c r="C42" i="6"/>
  <c r="F41" i="6"/>
  <c r="F53" i="6" s="1"/>
  <c r="D41" i="6"/>
  <c r="E41" i="6" s="1"/>
  <c r="C41" i="6"/>
  <c r="F36" i="6"/>
  <c r="G36" i="6" s="1"/>
  <c r="D36" i="6"/>
  <c r="E36" i="6" s="1"/>
  <c r="H36" i="6" s="1"/>
  <c r="C36" i="6"/>
  <c r="F35" i="6"/>
  <c r="G35" i="6" s="1"/>
  <c r="D35" i="6"/>
  <c r="E35" i="6" s="1"/>
  <c r="H35" i="6" s="1"/>
  <c r="C35" i="6"/>
  <c r="F34" i="6"/>
  <c r="G34" i="6" s="1"/>
  <c r="D34" i="6"/>
  <c r="E34" i="6" s="1"/>
  <c r="H34" i="6" s="1"/>
  <c r="C34" i="6"/>
  <c r="F33" i="6"/>
  <c r="G33" i="6" s="1"/>
  <c r="D33" i="6"/>
  <c r="E33" i="6" s="1"/>
  <c r="H33" i="6" s="1"/>
  <c r="C33" i="6"/>
  <c r="F32" i="6"/>
  <c r="G32" i="6" s="1"/>
  <c r="D32" i="6"/>
  <c r="E32" i="6" s="1"/>
  <c r="H32" i="6" s="1"/>
  <c r="C32" i="6"/>
  <c r="F31" i="6"/>
  <c r="G31" i="6" s="1"/>
  <c r="D31" i="6"/>
  <c r="E31" i="6" s="1"/>
  <c r="H31" i="6" s="1"/>
  <c r="C31" i="6"/>
  <c r="F30" i="6"/>
  <c r="H30" i="6" s="1"/>
  <c r="E30" i="6"/>
  <c r="D30" i="6"/>
  <c r="C30" i="6"/>
  <c r="F29" i="6"/>
  <c r="G29" i="6" s="1"/>
  <c r="D29" i="6"/>
  <c r="E29" i="6" s="1"/>
  <c r="H29" i="6" s="1"/>
  <c r="C29" i="6"/>
  <c r="F28" i="6"/>
  <c r="G28" i="6" s="1"/>
  <c r="D28" i="6"/>
  <c r="E28" i="6" s="1"/>
  <c r="H28" i="6" s="1"/>
  <c r="C28" i="6"/>
  <c r="F27" i="6"/>
  <c r="G27" i="6" s="1"/>
  <c r="D27" i="6"/>
  <c r="E27" i="6" s="1"/>
  <c r="H27" i="6" s="1"/>
  <c r="C27" i="6"/>
  <c r="F26" i="6"/>
  <c r="G26" i="6" s="1"/>
  <c r="D26" i="6"/>
  <c r="E26" i="6" s="1"/>
  <c r="H26" i="6" s="1"/>
  <c r="C26" i="6"/>
  <c r="F25" i="6"/>
  <c r="F37" i="6" s="1"/>
  <c r="E25" i="6"/>
  <c r="D25" i="6"/>
  <c r="C25" i="6"/>
  <c r="D20" i="6"/>
  <c r="C20" i="6"/>
  <c r="E20" i="6" s="1"/>
  <c r="D19" i="6"/>
  <c r="C19" i="6"/>
  <c r="E19" i="6" s="1"/>
  <c r="D18" i="6"/>
  <c r="C18" i="6"/>
  <c r="E18" i="6" s="1"/>
  <c r="G17" i="6"/>
  <c r="F17" i="6" s="1"/>
  <c r="D17" i="6"/>
  <c r="C17" i="6"/>
  <c r="E17" i="6" s="1"/>
  <c r="D16" i="6"/>
  <c r="C16" i="6"/>
  <c r="E16" i="6" s="1"/>
  <c r="G15" i="6"/>
  <c r="F15" i="6"/>
  <c r="E15" i="6"/>
  <c r="D15" i="6"/>
  <c r="C15" i="6"/>
  <c r="D14" i="6"/>
  <c r="C14" i="6"/>
  <c r="E14" i="6" s="1"/>
  <c r="D13" i="6"/>
  <c r="C13" i="6"/>
  <c r="E13" i="6" s="1"/>
  <c r="D12" i="6"/>
  <c r="C12" i="6"/>
  <c r="E12" i="6" s="1"/>
  <c r="D11" i="6"/>
  <c r="C11" i="6"/>
  <c r="E11" i="6" s="1"/>
  <c r="D10" i="6"/>
  <c r="C10" i="6"/>
  <c r="E10" i="6" s="1"/>
  <c r="D9" i="6"/>
  <c r="C9" i="6"/>
  <c r="E9" i="6" s="1"/>
  <c r="D8" i="6"/>
  <c r="C8" i="6"/>
  <c r="E8" i="6" s="1"/>
  <c r="G7" i="6"/>
  <c r="F7" i="6"/>
  <c r="D7" i="6"/>
  <c r="C7" i="6"/>
  <c r="E7" i="6" s="1"/>
  <c r="F93" i="5"/>
  <c r="E93" i="5"/>
  <c r="D93" i="5"/>
  <c r="B93" i="5"/>
  <c r="F100" i="5"/>
  <c r="E100" i="5"/>
  <c r="D100" i="5"/>
  <c r="B100" i="5"/>
  <c r="F113" i="5"/>
  <c r="E113" i="5"/>
  <c r="D113" i="5"/>
  <c r="B113" i="5"/>
  <c r="F112" i="5"/>
  <c r="E112" i="5"/>
  <c r="D112" i="5"/>
  <c r="B112" i="5"/>
  <c r="F111" i="5"/>
  <c r="E111" i="5"/>
  <c r="D111" i="5"/>
  <c r="B111" i="5"/>
  <c r="F110" i="5"/>
  <c r="E110" i="5"/>
  <c r="D110" i="5"/>
  <c r="B110" i="5"/>
  <c r="F109" i="5"/>
  <c r="E109" i="5"/>
  <c r="D109" i="5"/>
  <c r="B109" i="5"/>
  <c r="F108" i="5"/>
  <c r="E108" i="5"/>
  <c r="D108" i="5"/>
  <c r="B108" i="5"/>
  <c r="F107" i="5"/>
  <c r="E107" i="5"/>
  <c r="D107" i="5"/>
  <c r="B107" i="5"/>
  <c r="F106" i="5"/>
  <c r="E106" i="5"/>
  <c r="D106" i="5"/>
  <c r="B106" i="5"/>
  <c r="F105" i="5"/>
  <c r="E105" i="5"/>
  <c r="D105" i="5"/>
  <c r="B105" i="5"/>
  <c r="F104" i="5"/>
  <c r="E104" i="5"/>
  <c r="D104" i="5"/>
  <c r="B104" i="5"/>
  <c r="F103" i="5"/>
  <c r="E103" i="5"/>
  <c r="D103" i="5"/>
  <c r="B103" i="5"/>
  <c r="F102" i="5"/>
  <c r="E102" i="5"/>
  <c r="D102" i="5"/>
  <c r="B102" i="5"/>
  <c r="F101" i="5"/>
  <c r="E101" i="5"/>
  <c r="D101" i="5"/>
  <c r="B101" i="5"/>
  <c r="F99" i="5"/>
  <c r="E99" i="5"/>
  <c r="D99" i="5"/>
  <c r="B99" i="5"/>
  <c r="F98" i="5"/>
  <c r="E98" i="5"/>
  <c r="D98" i="5"/>
  <c r="B98" i="5"/>
  <c r="F97" i="5"/>
  <c r="E97" i="5"/>
  <c r="D97" i="5"/>
  <c r="B97" i="5"/>
  <c r="F96" i="5"/>
  <c r="E96" i="5"/>
  <c r="D96" i="5"/>
  <c r="B96" i="5"/>
  <c r="F95" i="5"/>
  <c r="E95" i="5"/>
  <c r="D95" i="5"/>
  <c r="B95" i="5"/>
  <c r="F94" i="5"/>
  <c r="E94" i="5"/>
  <c r="D94" i="5"/>
  <c r="B94" i="5"/>
  <c r="F92" i="5"/>
  <c r="E92" i="5"/>
  <c r="D92" i="5"/>
  <c r="B92" i="5"/>
  <c r="F91" i="5"/>
  <c r="E91" i="5"/>
  <c r="D91" i="5"/>
  <c r="B91" i="5"/>
  <c r="F90" i="5"/>
  <c r="E90" i="5"/>
  <c r="D90" i="5"/>
  <c r="B90" i="5"/>
  <c r="F89" i="5"/>
  <c r="E89" i="5"/>
  <c r="D89" i="5"/>
  <c r="B89" i="5"/>
  <c r="F88" i="5"/>
  <c r="E88" i="5"/>
  <c r="D88" i="5"/>
  <c r="B88" i="5"/>
  <c r="F87" i="5"/>
  <c r="E87" i="5"/>
  <c r="D87" i="5"/>
  <c r="B87" i="5"/>
  <c r="F86" i="5"/>
  <c r="E86" i="5"/>
  <c r="D86" i="5"/>
  <c r="B86" i="5"/>
  <c r="F85" i="5"/>
  <c r="E85" i="5"/>
  <c r="D85" i="5"/>
  <c r="B85" i="5"/>
  <c r="F84" i="5"/>
  <c r="E84" i="5"/>
  <c r="D84" i="5"/>
  <c r="B84" i="5"/>
  <c r="F83" i="5"/>
  <c r="E83" i="5"/>
  <c r="D83" i="5"/>
  <c r="B83" i="5"/>
  <c r="F82" i="5"/>
  <c r="E82" i="5"/>
  <c r="D82" i="5"/>
  <c r="B82" i="5"/>
  <c r="F81" i="5"/>
  <c r="E81" i="5"/>
  <c r="D81" i="5"/>
  <c r="B81" i="5"/>
  <c r="F80" i="5"/>
  <c r="E80" i="5"/>
  <c r="D80" i="5"/>
  <c r="B80" i="5"/>
  <c r="F79" i="5"/>
  <c r="E79" i="5"/>
  <c r="D79" i="5"/>
  <c r="B79" i="5"/>
  <c r="F78" i="5"/>
  <c r="E78" i="5"/>
  <c r="D78" i="5"/>
  <c r="B78" i="5"/>
  <c r="F77" i="5"/>
  <c r="E77" i="5"/>
  <c r="D77" i="5"/>
  <c r="B77" i="5"/>
  <c r="F76" i="5"/>
  <c r="E76" i="5"/>
  <c r="D76" i="5"/>
  <c r="B76" i="5"/>
  <c r="F75" i="5"/>
  <c r="E75" i="5"/>
  <c r="D75" i="5"/>
  <c r="B75" i="5"/>
  <c r="F74" i="5"/>
  <c r="E74" i="5"/>
  <c r="D74" i="5"/>
  <c r="B74" i="5"/>
  <c r="F73" i="5"/>
  <c r="E73" i="5"/>
  <c r="D73" i="5"/>
  <c r="B73" i="5"/>
  <c r="F72" i="5"/>
  <c r="E72" i="5"/>
  <c r="D72" i="5"/>
  <c r="B72" i="5"/>
  <c r="F71" i="5"/>
  <c r="E71" i="5"/>
  <c r="D71" i="5"/>
  <c r="B71" i="5"/>
  <c r="F70" i="5"/>
  <c r="E70" i="5"/>
  <c r="D70" i="5"/>
  <c r="B70" i="5"/>
  <c r="F69" i="5"/>
  <c r="E69" i="5"/>
  <c r="D69" i="5"/>
  <c r="B69" i="5"/>
  <c r="F68" i="5"/>
  <c r="E68" i="5"/>
  <c r="D68" i="5"/>
  <c r="B68" i="5"/>
  <c r="F67" i="5"/>
  <c r="E67" i="5"/>
  <c r="D67" i="5"/>
  <c r="B67" i="5"/>
  <c r="F66" i="5"/>
  <c r="E66" i="5"/>
  <c r="D66" i="5"/>
  <c r="B66" i="5"/>
  <c r="F65" i="5"/>
  <c r="E65" i="5"/>
  <c r="D65" i="5"/>
  <c r="B65" i="5"/>
  <c r="F64" i="5"/>
  <c r="E64" i="5"/>
  <c r="D64" i="5"/>
  <c r="B64" i="5"/>
  <c r="F63" i="5"/>
  <c r="E63" i="5"/>
  <c r="D63" i="5"/>
  <c r="B63" i="5"/>
  <c r="F62" i="5"/>
  <c r="E62" i="5"/>
  <c r="D62" i="5"/>
  <c r="B62" i="5"/>
  <c r="F61" i="5"/>
  <c r="E61" i="5"/>
  <c r="D61" i="5"/>
  <c r="B61" i="5"/>
  <c r="F60" i="5"/>
  <c r="E60" i="5"/>
  <c r="D60" i="5"/>
  <c r="B60" i="5"/>
  <c r="F59" i="5"/>
  <c r="E59" i="5"/>
  <c r="D59" i="5"/>
  <c r="B59" i="5"/>
  <c r="F58" i="5"/>
  <c r="E58" i="5"/>
  <c r="D58" i="5"/>
  <c r="B58" i="5"/>
  <c r="F57" i="5"/>
  <c r="E57" i="5"/>
  <c r="D57" i="5"/>
  <c r="B57" i="5"/>
  <c r="F56" i="5"/>
  <c r="E56" i="5"/>
  <c r="D56" i="5"/>
  <c r="B56" i="5"/>
  <c r="F55" i="5"/>
  <c r="E55" i="5"/>
  <c r="D55" i="5"/>
  <c r="B55" i="5"/>
  <c r="F54" i="5"/>
  <c r="E54" i="5"/>
  <c r="D54" i="5"/>
  <c r="B54" i="5"/>
  <c r="F53" i="5"/>
  <c r="E53" i="5"/>
  <c r="D53" i="5"/>
  <c r="B53" i="5"/>
  <c r="F52" i="5"/>
  <c r="E52" i="5"/>
  <c r="D52" i="5"/>
  <c r="B52" i="5"/>
  <c r="F51" i="5"/>
  <c r="E51" i="5"/>
  <c r="D51" i="5"/>
  <c r="B51" i="5"/>
  <c r="F50" i="5"/>
  <c r="E50" i="5"/>
  <c r="D50" i="5"/>
  <c r="B50" i="5"/>
  <c r="F49" i="5"/>
  <c r="E49" i="5"/>
  <c r="D49" i="5"/>
  <c r="B49" i="5"/>
  <c r="F48" i="5"/>
  <c r="E48" i="5"/>
  <c r="D48" i="5"/>
  <c r="B48" i="5"/>
  <c r="F47" i="5"/>
  <c r="E47" i="5"/>
  <c r="D47" i="5"/>
  <c r="B47" i="5"/>
  <c r="F46" i="5"/>
  <c r="E46" i="5"/>
  <c r="D46" i="5"/>
  <c r="B46" i="5"/>
  <c r="F45" i="5"/>
  <c r="E45" i="5"/>
  <c r="D45" i="5"/>
  <c r="B45" i="5"/>
  <c r="F44" i="5"/>
  <c r="E44" i="5"/>
  <c r="D44" i="5"/>
  <c r="B44" i="5"/>
  <c r="F43" i="5"/>
  <c r="E43" i="5"/>
  <c r="D43" i="5"/>
  <c r="B43" i="5"/>
  <c r="F42" i="5"/>
  <c r="E42" i="5"/>
  <c r="D42" i="5"/>
  <c r="B42" i="5"/>
  <c r="F41" i="5"/>
  <c r="E41" i="5"/>
  <c r="D41" i="5"/>
  <c r="B41" i="5"/>
  <c r="F40" i="5"/>
  <c r="E40" i="5"/>
  <c r="D40" i="5"/>
  <c r="B40" i="5"/>
  <c r="F39" i="5"/>
  <c r="E39" i="5"/>
  <c r="D39" i="5"/>
  <c r="B39" i="5"/>
  <c r="F38" i="5"/>
  <c r="E38" i="5"/>
  <c r="D38" i="5"/>
  <c r="B38" i="5"/>
  <c r="F37" i="5"/>
  <c r="E37" i="5"/>
  <c r="D37" i="5"/>
  <c r="B37" i="5"/>
  <c r="F36" i="5"/>
  <c r="E36" i="5"/>
  <c r="D36" i="5"/>
  <c r="B36" i="5"/>
  <c r="F35" i="5"/>
  <c r="E35" i="5"/>
  <c r="D35" i="5"/>
  <c r="B35" i="5"/>
  <c r="F34" i="5"/>
  <c r="E34" i="5"/>
  <c r="D34" i="5"/>
  <c r="B34" i="5"/>
  <c r="F33" i="5"/>
  <c r="E33" i="5"/>
  <c r="D33" i="5"/>
  <c r="B33" i="5"/>
  <c r="F32" i="5"/>
  <c r="E32" i="5"/>
  <c r="D32" i="5"/>
  <c r="B32" i="5"/>
  <c r="F31" i="5"/>
  <c r="E31" i="5"/>
  <c r="D31" i="5"/>
  <c r="B31" i="5"/>
  <c r="F30" i="5"/>
  <c r="E30" i="5"/>
  <c r="D30" i="5"/>
  <c r="B30" i="5"/>
  <c r="F29" i="5"/>
  <c r="E29" i="5"/>
  <c r="D29" i="5"/>
  <c r="B29" i="5"/>
  <c r="F28" i="5"/>
  <c r="E28" i="5"/>
  <c r="D28" i="5"/>
  <c r="B28" i="5"/>
  <c r="F27" i="5"/>
  <c r="E27" i="5"/>
  <c r="D27" i="5"/>
  <c r="B27" i="5"/>
  <c r="F26" i="5"/>
  <c r="E26" i="5"/>
  <c r="D26" i="5"/>
  <c r="B26" i="5"/>
  <c r="F25" i="5"/>
  <c r="E25" i="5"/>
  <c r="D25" i="5"/>
  <c r="B25" i="5"/>
  <c r="F24" i="5"/>
  <c r="E24" i="5"/>
  <c r="D24" i="5"/>
  <c r="B24" i="5"/>
  <c r="F23" i="5"/>
  <c r="E23" i="5"/>
  <c r="D23" i="5"/>
  <c r="B23" i="5"/>
  <c r="F22" i="5"/>
  <c r="E22" i="5"/>
  <c r="D22" i="5"/>
  <c r="B22" i="5"/>
  <c r="F21" i="5"/>
  <c r="E21" i="5"/>
  <c r="D21" i="5"/>
  <c r="B21" i="5"/>
  <c r="F20" i="5"/>
  <c r="E20" i="5"/>
  <c r="D20" i="5"/>
  <c r="B20" i="5"/>
  <c r="F19" i="5"/>
  <c r="E19" i="5"/>
  <c r="D19" i="5"/>
  <c r="B19" i="5"/>
  <c r="F18" i="5"/>
  <c r="E18" i="5"/>
  <c r="D18" i="5"/>
  <c r="B18" i="5"/>
  <c r="F17" i="5"/>
  <c r="E17" i="5"/>
  <c r="D17" i="5"/>
  <c r="B17" i="5"/>
  <c r="F16" i="5"/>
  <c r="E16" i="5"/>
  <c r="D16" i="5"/>
  <c r="B16" i="5"/>
  <c r="F15" i="5"/>
  <c r="E15" i="5"/>
  <c r="D15" i="5"/>
  <c r="B15" i="5"/>
  <c r="F14" i="5"/>
  <c r="E14" i="5"/>
  <c r="D14" i="5"/>
  <c r="B14" i="5"/>
  <c r="F13" i="5"/>
  <c r="E13" i="5"/>
  <c r="D13" i="5"/>
  <c r="B13" i="5"/>
  <c r="F12" i="5"/>
  <c r="E12" i="5"/>
  <c r="D12" i="5"/>
  <c r="B12" i="5"/>
  <c r="F11" i="5"/>
  <c r="E11" i="5"/>
  <c r="D11" i="5"/>
  <c r="B11" i="5"/>
  <c r="F10" i="5"/>
  <c r="E10" i="5"/>
  <c r="D10" i="5"/>
  <c r="B10" i="5"/>
  <c r="H2" i="5"/>
  <c r="G4" i="5"/>
  <c r="E9" i="5"/>
  <c r="F9" i="5"/>
  <c r="D9" i="5"/>
  <c r="B9" i="5"/>
  <c r="G5" i="5"/>
  <c r="C5" i="5"/>
  <c r="C4" i="5"/>
  <c r="E46" i="3"/>
  <c r="J46" i="3"/>
  <c r="J30" i="3"/>
  <c r="J29" i="3"/>
  <c r="G20" i="6" s="1"/>
  <c r="J28" i="3"/>
  <c r="G19" i="6" s="1"/>
  <c r="J27" i="3"/>
  <c r="G18" i="6" s="1"/>
  <c r="J26" i="3"/>
  <c r="J25" i="3"/>
  <c r="G16" i="6" s="1"/>
  <c r="J24" i="3"/>
  <c r="J23" i="3"/>
  <c r="G14" i="6" s="1"/>
  <c r="J22" i="3"/>
  <c r="G13" i="6" s="1"/>
  <c r="J21" i="3"/>
  <c r="G12" i="6" s="1"/>
  <c r="J20" i="3"/>
  <c r="G11" i="6" s="1"/>
  <c r="J19" i="3"/>
  <c r="G10" i="6" s="1"/>
  <c r="J18" i="3"/>
  <c r="G9" i="6" s="1"/>
  <c r="J17" i="3"/>
  <c r="G8" i="6" s="1"/>
  <c r="J16" i="3"/>
  <c r="H7" i="6" l="1"/>
  <c r="H43" i="6"/>
  <c r="G25" i="6"/>
  <c r="G30" i="6"/>
  <c r="H15" i="6"/>
  <c r="H25" i="6"/>
  <c r="H37" i="6" s="1"/>
  <c r="H17" i="6"/>
  <c r="H46" i="6"/>
  <c r="H12" i="6"/>
  <c r="F12" i="6"/>
  <c r="H47" i="6"/>
  <c r="H51" i="6"/>
  <c r="H16" i="6"/>
  <c r="F16" i="6"/>
  <c r="H41" i="6"/>
  <c r="F8" i="6"/>
  <c r="H8" i="6"/>
  <c r="H9" i="6"/>
  <c r="F9" i="6"/>
  <c r="H45" i="6"/>
  <c r="F13" i="6"/>
  <c r="H13" i="6"/>
  <c r="H14" i="6"/>
  <c r="F14" i="6"/>
  <c r="F18" i="6"/>
  <c r="H18" i="6"/>
  <c r="F19" i="6"/>
  <c r="H19" i="6"/>
  <c r="H10" i="6"/>
  <c r="F10" i="6"/>
  <c r="H20" i="6"/>
  <c r="F20" i="6"/>
  <c r="H11" i="6"/>
  <c r="F11" i="6"/>
  <c r="H49" i="6"/>
  <c r="G21" i="6"/>
  <c r="J14" i="3"/>
  <c r="D58" i="3"/>
  <c r="F55" i="6" s="1"/>
  <c r="I31" i="3"/>
  <c r="H31" i="3"/>
  <c r="G31" i="3"/>
  <c r="F31" i="3"/>
  <c r="E31" i="3"/>
  <c r="H21" i="6" l="1"/>
  <c r="F21" i="6"/>
  <c r="H53" i="6"/>
  <c r="G37" i="6"/>
  <c r="H55" i="6"/>
  <c r="F57" i="6" s="1"/>
  <c r="J31" i="3"/>
  <c r="H59" i="6" l="1"/>
  <c r="F60" i="6" s="1"/>
  <c r="F63" i="6" s="1"/>
</calcChain>
</file>

<file path=xl/sharedStrings.xml><?xml version="1.0" encoding="utf-8"?>
<sst xmlns="http://schemas.openxmlformats.org/spreadsheetml/2006/main" count="115" uniqueCount="100">
  <si>
    <t>Width</t>
  </si>
  <si>
    <t>Length</t>
  </si>
  <si>
    <t>Price/Ton</t>
  </si>
  <si>
    <t>Recipe</t>
  </si>
  <si>
    <t>%</t>
  </si>
  <si>
    <t>Total</t>
  </si>
  <si>
    <t>Solvent</t>
  </si>
  <si>
    <t>Scrap</t>
  </si>
  <si>
    <t xml:space="preserve">Conversion cost </t>
  </si>
  <si>
    <t>Profit Margin</t>
  </si>
  <si>
    <t>Minimum Selling Price/Ton $</t>
  </si>
  <si>
    <t>Actual Bag Weight</t>
  </si>
  <si>
    <t>Minimum Selling Price/Bag $</t>
  </si>
  <si>
    <t>Product Recipe Report</t>
  </si>
  <si>
    <t>Product Name</t>
  </si>
  <si>
    <t>Product Code</t>
  </si>
  <si>
    <t>Customer</t>
  </si>
  <si>
    <t>Name</t>
  </si>
  <si>
    <t>Thickness</t>
  </si>
  <si>
    <t>Gusset</t>
  </si>
  <si>
    <t>Gusseted Size</t>
  </si>
  <si>
    <t>Film Color</t>
  </si>
  <si>
    <t>Printed</t>
  </si>
  <si>
    <t>Unit</t>
  </si>
  <si>
    <t>cm</t>
  </si>
  <si>
    <t>micon</t>
  </si>
  <si>
    <t>m</t>
  </si>
  <si>
    <t>Data</t>
  </si>
  <si>
    <t>Material No.</t>
  </si>
  <si>
    <t>Material Type</t>
  </si>
  <si>
    <t>Layer #</t>
  </si>
  <si>
    <t>Layer Name</t>
  </si>
  <si>
    <t>A</t>
  </si>
  <si>
    <t>B</t>
  </si>
  <si>
    <t>C</t>
  </si>
  <si>
    <t>D</t>
  </si>
  <si>
    <t>E</t>
  </si>
  <si>
    <t>Layer %</t>
  </si>
  <si>
    <t>Material Grade</t>
  </si>
  <si>
    <t>Ink Type</t>
  </si>
  <si>
    <t>Kg/Ton</t>
  </si>
  <si>
    <t>Production &amp; Machinability Data Data</t>
  </si>
  <si>
    <t>Ink 1</t>
  </si>
  <si>
    <t>Film M/C Name</t>
  </si>
  <si>
    <t>Prod. Capacity (KG/Hr)</t>
  </si>
  <si>
    <t>Film Scrap        (%)</t>
  </si>
  <si>
    <t>Ink 2</t>
  </si>
  <si>
    <t>Ink 3</t>
  </si>
  <si>
    <t>Ink 4</t>
  </si>
  <si>
    <t>Printing M/C Name</t>
  </si>
  <si>
    <t>Prod. Capacity (m/Min)</t>
  </si>
  <si>
    <t>Printing Scrap (%)</t>
  </si>
  <si>
    <t>Ink 5</t>
  </si>
  <si>
    <t>Ink 6</t>
  </si>
  <si>
    <t>Ink 7</t>
  </si>
  <si>
    <t>Bag M/C Name</t>
  </si>
  <si>
    <t>Prod. Capacity (bag/Hour)</t>
  </si>
  <si>
    <t>Bag M/C Scrap (%)</t>
  </si>
  <si>
    <t>Ink 8</t>
  </si>
  <si>
    <t>Total Scrap</t>
  </si>
  <si>
    <t>Raw material Type</t>
  </si>
  <si>
    <t>Raw material Grade</t>
  </si>
  <si>
    <t>Raw Material Prices</t>
  </si>
  <si>
    <t>U$/Egp</t>
  </si>
  <si>
    <t>Import charges %</t>
  </si>
  <si>
    <t>Euro/$</t>
  </si>
  <si>
    <t>Customs</t>
  </si>
  <si>
    <t>Kind</t>
  </si>
  <si>
    <t>Cost Us$</t>
  </si>
  <si>
    <t>R.M. Type</t>
  </si>
  <si>
    <t>R.M. Name</t>
  </si>
  <si>
    <t>R.M. Grades</t>
  </si>
  <si>
    <t>Packaging Mat.</t>
  </si>
  <si>
    <t>Printing Mat.</t>
  </si>
  <si>
    <t>Pack. Type</t>
  </si>
  <si>
    <t>Pack. Description</t>
  </si>
  <si>
    <t>Qty/Ton</t>
  </si>
  <si>
    <t>Ink Additive</t>
  </si>
  <si>
    <t>Printing material Type</t>
  </si>
  <si>
    <t>Printing material Grade</t>
  </si>
  <si>
    <t xml:space="preserve">Consumption kg /Ton </t>
  </si>
  <si>
    <t>% of total</t>
  </si>
  <si>
    <t>Cost in Ton</t>
  </si>
  <si>
    <t>Packaging Type</t>
  </si>
  <si>
    <t>Packaging Details</t>
  </si>
  <si>
    <t>Price/unit</t>
  </si>
  <si>
    <t xml:space="preserve">Consumption / Ton </t>
  </si>
  <si>
    <t>Total Packaging Cost</t>
  </si>
  <si>
    <t>Total Printing Material Cost</t>
  </si>
  <si>
    <t>Total Raw Material Cost</t>
  </si>
  <si>
    <t>Total Cost</t>
  </si>
  <si>
    <t>CODE</t>
  </si>
  <si>
    <t>Currency</t>
  </si>
  <si>
    <t>Warehouse Material Cost</t>
  </si>
  <si>
    <t>On the Way Material Cost</t>
  </si>
  <si>
    <t>Price List Material Cost</t>
  </si>
  <si>
    <t>Warehouse Material Qty</t>
  </si>
  <si>
    <t>On the Way Material Qty</t>
  </si>
  <si>
    <t>Average Material Cost</t>
  </si>
  <si>
    <t>Average Material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</si>
</sst>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0.000"/>
    <numFmt numFmtId="166" formatCode="_(* #,##0_);_(* \(#,##0\);_(* &quot;-&quot;??_);_(@_)"/>
    <numFmt numFmtId="167" formatCode="0.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>
      <alignment horizontal="center" vertical="center"/>
    </xf>
    <xf numFmtId="0" fontId="2" fillId="0" borderId="21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hidden="1"/>
    </xf>
    <xf numFmtId="0" fontId="3" fillId="0" borderId="26" xfId="0" applyFont="1" applyBorder="1" applyAlignment="1" applyProtection="1">
      <alignment horizontal="center" vertical="center"/>
      <protection hidden="1"/>
    </xf>
    <xf numFmtId="0" fontId="3" fillId="0" borderId="27" xfId="0" applyFont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9" fontId="2" fillId="0" borderId="26" xfId="2" applyFont="1" applyBorder="1" applyAlignment="1" applyProtection="1">
      <alignment horizontal="center" vertical="center"/>
      <protection locked="0"/>
    </xf>
    <xf numFmtId="9" fontId="2" fillId="0" borderId="27" xfId="2" applyFont="1" applyBorder="1" applyAlignment="1" applyProtection="1">
      <alignment horizontal="center" vertical="center"/>
      <protection locked="0"/>
    </xf>
    <xf numFmtId="9" fontId="2" fillId="0" borderId="13" xfId="2" applyFont="1" applyBorder="1" applyAlignment="1" applyProtection="1">
      <alignment horizontal="center" vertical="center"/>
      <protection locked="0"/>
    </xf>
    <xf numFmtId="9" fontId="3" fillId="3" borderId="32" xfId="0" applyNumberFormat="1" applyFont="1" applyFill="1" applyBorder="1" applyAlignment="1" applyProtection="1">
      <alignment horizontal="center" vertical="center"/>
      <protection hidden="1"/>
    </xf>
    <xf numFmtId="0" fontId="5" fillId="0" borderId="34" xfId="0" applyFont="1" applyBorder="1" applyAlignment="1" applyProtection="1">
      <alignment horizontal="center" vertical="center"/>
      <protection hidden="1"/>
    </xf>
    <xf numFmtId="9" fontId="2" fillId="0" borderId="35" xfId="2" applyFont="1" applyBorder="1" applyAlignment="1" applyProtection="1">
      <alignment horizontal="center" vertical="center"/>
      <protection locked="0"/>
    </xf>
    <xf numFmtId="0" fontId="5" fillId="0" borderId="3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locked="0"/>
    </xf>
    <xf numFmtId="9" fontId="2" fillId="0" borderId="3" xfId="2" applyFont="1" applyBorder="1" applyAlignment="1" applyProtection="1">
      <alignment horizontal="center" vertical="center"/>
      <protection locked="0"/>
    </xf>
    <xf numFmtId="9" fontId="2" fillId="0" borderId="19" xfId="2" applyFont="1" applyBorder="1" applyAlignment="1" applyProtection="1">
      <alignment horizontal="center" vertical="center"/>
      <protection locked="0"/>
    </xf>
    <xf numFmtId="0" fontId="5" fillId="0" borderId="39" xfId="0" applyFont="1" applyBorder="1" applyAlignment="1" applyProtection="1">
      <alignment horizontal="center" vertical="center"/>
      <protection hidden="1"/>
    </xf>
    <xf numFmtId="9" fontId="2" fillId="0" borderId="21" xfId="2" applyFont="1" applyBorder="1" applyAlignment="1" applyProtection="1">
      <alignment horizontal="center" vertical="center"/>
      <protection locked="0"/>
    </xf>
    <xf numFmtId="164" fontId="3" fillId="0" borderId="44" xfId="2" applyNumberFormat="1" applyFont="1" applyFill="1" applyBorder="1" applyAlignment="1">
      <alignment horizontal="center" vertical="center"/>
    </xf>
    <xf numFmtId="164" fontId="3" fillId="0" borderId="45" xfId="2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 applyProtection="1">
      <alignment horizontal="center" vertical="center"/>
      <protection hidden="1"/>
    </xf>
    <xf numFmtId="0" fontId="5" fillId="3" borderId="27" xfId="0" applyFont="1" applyFill="1" applyBorder="1" applyAlignment="1" applyProtection="1">
      <alignment horizontal="center" vertical="center"/>
      <protection hidden="1"/>
    </xf>
    <xf numFmtId="0" fontId="5" fillId="3" borderId="13" xfId="0" applyFont="1" applyFill="1" applyBorder="1" applyAlignment="1" applyProtection="1">
      <alignment horizontal="center" vertical="center"/>
      <protection hidden="1"/>
    </xf>
    <xf numFmtId="0" fontId="5" fillId="3" borderId="34" xfId="0" applyFont="1" applyFill="1" applyBorder="1" applyAlignment="1" applyProtection="1">
      <alignment horizontal="center" vertical="center"/>
      <protection hidden="1"/>
    </xf>
    <xf numFmtId="0" fontId="2" fillId="0" borderId="4" xfId="0" applyFont="1" applyBorder="1" applyAlignment="1">
      <alignment horizontal="center" vertical="center"/>
    </xf>
    <xf numFmtId="9" fontId="3" fillId="4" borderId="13" xfId="0" applyNumberFormat="1" applyFont="1" applyFill="1" applyBorder="1" applyAlignment="1">
      <alignment horizontal="center" vertical="center" wrapText="1"/>
    </xf>
    <xf numFmtId="0" fontId="3" fillId="3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3" borderId="25" xfId="0" applyFont="1" applyFill="1" applyBorder="1" applyAlignment="1" applyProtection="1">
      <alignment horizontal="center" vertical="center"/>
      <protection hidden="1"/>
    </xf>
    <xf numFmtId="9" fontId="2" fillId="0" borderId="51" xfId="2" applyFont="1" applyBorder="1" applyAlignment="1" applyProtection="1">
      <alignment horizontal="center" vertical="center"/>
      <protection locked="0"/>
    </xf>
    <xf numFmtId="9" fontId="2" fillId="0" borderId="8" xfId="2" applyFont="1" applyBorder="1" applyAlignment="1" applyProtection="1">
      <alignment horizontal="center" vertical="center"/>
      <protection locked="0"/>
    </xf>
    <xf numFmtId="9" fontId="2" fillId="0" borderId="52" xfId="2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0" fontId="2" fillId="0" borderId="31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9" fontId="2" fillId="0" borderId="53" xfId="2" applyFont="1" applyBorder="1" applyAlignment="1" applyProtection="1">
      <alignment horizontal="center" vertical="center"/>
      <protection locked="0"/>
    </xf>
    <xf numFmtId="9" fontId="2" fillId="0" borderId="6" xfId="2" applyFont="1" applyBorder="1" applyAlignment="1" applyProtection="1">
      <alignment horizontal="center" vertical="center"/>
      <protection locked="0"/>
    </xf>
    <xf numFmtId="9" fontId="2" fillId="0" borderId="54" xfId="2" applyFont="1" applyBorder="1" applyAlignment="1" applyProtection="1">
      <alignment horizontal="center" vertical="center"/>
      <protection locked="0"/>
    </xf>
    <xf numFmtId="164" fontId="3" fillId="3" borderId="33" xfId="2" applyNumberFormat="1" applyFont="1" applyFill="1" applyBorder="1" applyAlignment="1" applyProtection="1">
      <alignment horizontal="center" vertical="center"/>
      <protection hidden="1"/>
    </xf>
    <xf numFmtId="10" fontId="3" fillId="3" borderId="28" xfId="2" applyNumberFormat="1" applyFont="1" applyFill="1" applyBorder="1" applyAlignment="1" applyProtection="1">
      <alignment horizontal="center" vertical="center"/>
      <protection hidden="1"/>
    </xf>
    <xf numFmtId="10" fontId="3" fillId="3" borderId="31" xfId="2" applyNumberFormat="1" applyFont="1" applyFill="1" applyBorder="1" applyAlignment="1" applyProtection="1">
      <alignment horizontal="center" vertical="center"/>
      <protection hidden="1"/>
    </xf>
    <xf numFmtId="10" fontId="3" fillId="3" borderId="32" xfId="2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9" fontId="8" fillId="0" borderId="3" xfId="2" applyFont="1" applyBorder="1" applyAlignment="1">
      <alignment horizontal="center" vertical="center"/>
    </xf>
    <xf numFmtId="166" fontId="6" fillId="0" borderId="3" xfId="1" applyNumberFormat="1" applyFont="1" applyFill="1" applyBorder="1" applyAlignment="1">
      <alignment horizontal="center" vertical="center"/>
    </xf>
    <xf numFmtId="0" fontId="2" fillId="0" borderId="36" xfId="2" applyNumberFormat="1" applyFont="1" applyBorder="1" applyAlignment="1" applyProtection="1">
      <alignment horizontal="center" vertical="center"/>
      <protection locked="0"/>
    </xf>
    <xf numFmtId="0" fontId="2" fillId="0" borderId="38" xfId="2" applyNumberFormat="1" applyFont="1" applyBorder="1" applyAlignment="1" applyProtection="1">
      <alignment horizontal="center" vertical="center"/>
      <protection locked="0"/>
    </xf>
    <xf numFmtId="0" fontId="2" fillId="0" borderId="40" xfId="2" applyNumberFormat="1" applyFont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166" fontId="6" fillId="6" borderId="3" xfId="1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5" fontId="7" fillId="0" borderId="9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0" xfId="0" applyFont="1"/>
    <xf numFmtId="0" fontId="5" fillId="0" borderId="23" xfId="0" applyFont="1" applyBorder="1" applyAlignment="1" applyProtection="1">
      <alignment horizontal="center" vertical="center"/>
      <protection hidden="1"/>
    </xf>
    <xf numFmtId="0" fontId="5" fillId="0" borderId="29" xfId="0" applyFont="1" applyBorder="1" applyAlignment="1" applyProtection="1">
      <alignment horizontal="center" vertical="center"/>
      <protection hidden="1"/>
    </xf>
    <xf numFmtId="0" fontId="5" fillId="0" borderId="33" xfId="0" applyFont="1" applyBorder="1" applyAlignment="1" applyProtection="1">
      <alignment horizontal="center" vertical="center"/>
      <protection hidden="1"/>
    </xf>
    <xf numFmtId="0" fontId="5" fillId="0" borderId="24" xfId="0" applyFont="1" applyBorder="1" applyAlignment="1" applyProtection="1">
      <alignment horizontal="center" vertical="center"/>
      <protection hidden="1"/>
    </xf>
    <xf numFmtId="0" fontId="5" fillId="0" borderId="30" xfId="0" applyFont="1" applyBorder="1" applyAlignment="1" applyProtection="1">
      <alignment horizontal="center" vertical="center"/>
      <protection hidden="1"/>
    </xf>
    <xf numFmtId="0" fontId="3" fillId="0" borderId="28" xfId="0" applyFont="1" applyBorder="1" applyAlignment="1" applyProtection="1">
      <alignment horizontal="center" vertical="center"/>
      <protection hidden="1"/>
    </xf>
    <xf numFmtId="0" fontId="3" fillId="0" borderId="31" xfId="0" applyFont="1" applyBorder="1" applyAlignment="1" applyProtection="1">
      <alignment horizontal="center" vertical="center"/>
      <protection hidden="1"/>
    </xf>
    <xf numFmtId="0" fontId="0" fillId="0" borderId="10" xfId="0" applyBorder="1" applyAlignment="1">
      <alignment horizontal="center"/>
    </xf>
    <xf numFmtId="0" fontId="0" fillId="0" borderId="55" xfId="0" applyBorder="1" applyAlignment="1">
      <alignment horizont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47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>
      <alignment horizontal="center" vertical="center"/>
    </xf>
    <xf numFmtId="0" fontId="2" fillId="5" borderId="5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5" borderId="56" xfId="0" applyNumberFormat="1" applyFont="1" applyFill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/>
    </xf>
    <xf numFmtId="1" fontId="2" fillId="5" borderId="4" xfId="0" applyNumberFormat="1" applyFont="1" applyFill="1" applyBorder="1" applyAlignment="1">
      <alignment horizontal="center" vertical="center"/>
    </xf>
    <xf numFmtId="1" fontId="2" fillId="5" borderId="50" xfId="0" applyNumberFormat="1" applyFont="1" applyFill="1" applyBorder="1" applyAlignment="1">
      <alignment horizontal="center" vertical="center"/>
    </xf>
    <xf numFmtId="1" fontId="2" fillId="5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1" fontId="2" fillId="2" borderId="56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50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67" fontId="2" fillId="5" borderId="49" xfId="0" applyNumberFormat="1" applyFont="1" applyFill="1" applyBorder="1" applyAlignment="1">
      <alignment horizontal="center" vertical="center"/>
    </xf>
    <xf numFmtId="167" fontId="2" fillId="5" borderId="15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9" fontId="2" fillId="0" borderId="6" xfId="2" applyFont="1" applyBorder="1" applyAlignment="1">
      <alignment horizontal="center" vertical="center"/>
    </xf>
    <xf numFmtId="9" fontId="2" fillId="0" borderId="8" xfId="2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0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164" fontId="5" fillId="5" borderId="49" xfId="0" applyNumberFormat="1" applyFont="1" applyFill="1" applyBorder="1" applyAlignment="1">
      <alignment horizontal="center" vertical="center"/>
    </xf>
    <xf numFmtId="164" fontId="5" fillId="5" borderId="15" xfId="0" applyNumberFormat="1" applyFont="1" applyFill="1" applyBorder="1" applyAlignment="1">
      <alignment horizontal="center" vertical="center"/>
    </xf>
    <xf numFmtId="1" fontId="5" fillId="5" borderId="49" xfId="0" applyNumberFormat="1" applyFont="1" applyFill="1" applyBorder="1" applyAlignment="1">
      <alignment horizontal="center" vertical="center"/>
    </xf>
    <xf numFmtId="1" fontId="5" fillId="5" borderId="15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5" borderId="49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10" fontId="2" fillId="5" borderId="49" xfId="2" applyNumberFormat="1" applyFont="1" applyFill="1" applyBorder="1" applyAlignment="1">
      <alignment horizontal="center" vertical="center"/>
    </xf>
    <xf numFmtId="10" fontId="2" fillId="5" borderId="15" xfId="2" applyNumberFormat="1" applyFont="1" applyFill="1" applyBorder="1" applyAlignment="1">
      <alignment horizontal="center" vertical="center"/>
    </xf>
    <xf numFmtId="15" fontId="7" fillId="0" borderId="11" xfId="0" applyNumberFormat="1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15" fontId="7" fillId="0" borderId="10" xfId="0" applyNumberFormat="1" applyFont="1" applyBorder="1" applyAlignment="1">
      <alignment horizontal="center" vertical="center"/>
    </xf>
    <xf numFmtId="9" fontId="8" fillId="0" borderId="0" xfId="2" applyFont="1" applyBorder="1" applyAlignment="1">
      <alignment horizontal="center" vertical="center"/>
    </xf>
    <xf numFmtId="15" fontId="7" fillId="0" borderId="0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7">
    <dxf>
      <fill>
        <patternFill>
          <bgColor rgb="FFFAC1C9"/>
        </patternFill>
      </fill>
    </dxf>
    <dxf>
      <fill>
        <patternFill>
          <bgColor rgb="FFFAC1C9"/>
        </patternFill>
      </fill>
    </dxf>
    <dxf>
      <fill>
        <patternFill>
          <bgColor rgb="FFFAC1C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AC1C9"/>
        </patternFill>
      </fill>
    </dxf>
    <dxf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rgb="FFFAC1C9"/>
        </patternFill>
      </fill>
    </dxf>
    <dxf>
      <fill>
        <patternFill>
          <bgColor rgb="FFFAC1C9"/>
        </patternFill>
      </fill>
    </dxf>
    <dxf>
      <fill>
        <patternFill>
          <bgColor rgb="FFFAC1C9"/>
        </patternFill>
      </fill>
    </dxf>
    <dxf>
      <fill>
        <patternFill>
          <bgColor rgb="FFFAC1C9"/>
        </patternFill>
      </fill>
    </dxf>
    <dxf>
      <fill>
        <patternFill>
          <bgColor rgb="FFFAC1C9"/>
        </patternFill>
      </fill>
    </dxf>
    <dxf>
      <fill>
        <patternFill>
          <bgColor rgb="FFFF99A0"/>
        </patternFill>
      </fill>
    </dxf>
    <dxf>
      <fill>
        <patternFill>
          <bgColor rgb="FFFAC1C9"/>
        </patternFill>
      </fill>
    </dxf>
    <dxf>
      <fill>
        <patternFill>
          <bgColor rgb="FFFAC1C9"/>
        </patternFill>
      </fill>
    </dxf>
    <dxf>
      <fill>
        <patternFill>
          <bgColor rgb="FFFAC1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hmed/Desktop/Prices%20Sheets%202026%20/Reference%20Files/Reference%20Material%20Prices.xlsx" TargetMode="External"/><Relationship Id="rId1" Type="http://schemas.openxmlformats.org/officeDocument/2006/relationships/externalLinkPath" Target="Reference%20Material%20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Material"/>
      <sheetName val="Reference Material Prices"/>
    </sheetNames>
    <sheetDataSet>
      <sheetData sheetId="0">
        <row r="4">
          <cell r="C4">
            <v>55</v>
          </cell>
          <cell r="F4">
            <v>7.0000000000000007E-2</v>
          </cell>
          <cell r="J4">
            <v>46114</v>
          </cell>
        </row>
        <row r="5">
          <cell r="C5">
            <v>1.1599999999999999</v>
          </cell>
          <cell r="F5">
            <v>0.05</v>
          </cell>
        </row>
        <row r="8">
          <cell r="B8" t="str">
            <v>Raw Material</v>
          </cell>
          <cell r="C8" t="str">
            <v>PE</v>
          </cell>
          <cell r="D8" t="str">
            <v>LDPE</v>
          </cell>
          <cell r="E8"/>
        </row>
        <row r="9">
          <cell r="B9" t="str">
            <v>Raw Material</v>
          </cell>
          <cell r="C9" t="str">
            <v>PE</v>
          </cell>
          <cell r="D9" t="str">
            <v>LLDPE</v>
          </cell>
          <cell r="E9"/>
        </row>
        <row r="10">
          <cell r="B10" t="str">
            <v>Raw Material</v>
          </cell>
          <cell r="C10" t="str">
            <v>PE</v>
          </cell>
          <cell r="D10" t="str">
            <v>LLDPE 6201</v>
          </cell>
          <cell r="E10"/>
        </row>
        <row r="11">
          <cell r="B11" t="str">
            <v>Raw Material</v>
          </cell>
          <cell r="C11" t="str">
            <v>PE</v>
          </cell>
          <cell r="D11" t="str">
            <v>HDPE</v>
          </cell>
          <cell r="E11"/>
        </row>
        <row r="12">
          <cell r="B12" t="str">
            <v>Raw Material</v>
          </cell>
          <cell r="C12" t="str">
            <v>PE</v>
          </cell>
          <cell r="D12" t="str">
            <v>HDPE HTA108</v>
          </cell>
          <cell r="E12"/>
        </row>
        <row r="13">
          <cell r="B13" t="str">
            <v>Raw Material</v>
          </cell>
          <cell r="C13" t="str">
            <v>PE</v>
          </cell>
          <cell r="D13" t="str">
            <v>MDPE</v>
          </cell>
          <cell r="E13"/>
        </row>
        <row r="14">
          <cell r="B14" t="str">
            <v>Raw Material</v>
          </cell>
          <cell r="C14" t="str">
            <v>PE</v>
          </cell>
          <cell r="D14" t="str">
            <v>Enable</v>
          </cell>
          <cell r="E14"/>
        </row>
        <row r="15">
          <cell r="B15" t="str">
            <v>Raw Material</v>
          </cell>
          <cell r="C15" t="str">
            <v>PE</v>
          </cell>
          <cell r="D15" t="str">
            <v>Enable 3305</v>
          </cell>
          <cell r="E15"/>
        </row>
        <row r="16">
          <cell r="B16" t="str">
            <v>Raw Material</v>
          </cell>
          <cell r="C16" t="str">
            <v>PE</v>
          </cell>
          <cell r="D16" t="str">
            <v>MDPE K307</v>
          </cell>
          <cell r="E16"/>
        </row>
        <row r="17">
          <cell r="B17" t="str">
            <v>Raw Material</v>
          </cell>
          <cell r="C17" t="str">
            <v>PE</v>
          </cell>
          <cell r="D17" t="str">
            <v>Exceed</v>
          </cell>
          <cell r="E17"/>
        </row>
        <row r="18">
          <cell r="B18" t="str">
            <v>Raw Material</v>
          </cell>
          <cell r="C18" t="str">
            <v>PE</v>
          </cell>
          <cell r="D18" t="str">
            <v>Exceed XP</v>
          </cell>
          <cell r="E18"/>
        </row>
        <row r="19">
          <cell r="B19" t="str">
            <v>Raw Material</v>
          </cell>
          <cell r="C19" t="str">
            <v>PE</v>
          </cell>
          <cell r="D19" t="str">
            <v>Exceed XP7</v>
          </cell>
          <cell r="E19"/>
        </row>
        <row r="20">
          <cell r="B20" t="str">
            <v>Raw Material</v>
          </cell>
          <cell r="C20" t="str">
            <v>PE</v>
          </cell>
          <cell r="D20" t="str">
            <v>Exceed S</v>
          </cell>
          <cell r="E20"/>
        </row>
        <row r="21">
          <cell r="B21" t="str">
            <v>Raw Material</v>
          </cell>
          <cell r="C21" t="str">
            <v>PP</v>
          </cell>
          <cell r="D21" t="str">
            <v>PP</v>
          </cell>
          <cell r="E21"/>
        </row>
        <row r="22">
          <cell r="B22" t="str">
            <v>Raw Material</v>
          </cell>
          <cell r="C22" t="str">
            <v>FPP</v>
          </cell>
          <cell r="D22" t="str">
            <v>Hifax CA 10A</v>
          </cell>
          <cell r="E22"/>
        </row>
        <row r="23">
          <cell r="B23" t="str">
            <v>Raw Material</v>
          </cell>
          <cell r="C23" t="str">
            <v>EVA</v>
          </cell>
          <cell r="D23" t="str">
            <v>EVA</v>
          </cell>
          <cell r="E23"/>
        </row>
        <row r="31">
          <cell r="B31" t="str">
            <v>Raw Material</v>
          </cell>
          <cell r="C31" t="str">
            <v>Copolymer</v>
          </cell>
          <cell r="D31" t="str">
            <v>Vistamax</v>
          </cell>
          <cell r="E31"/>
        </row>
        <row r="32">
          <cell r="B32" t="str">
            <v>Raw Material</v>
          </cell>
          <cell r="C32" t="str">
            <v>Filler</v>
          </cell>
          <cell r="D32" t="str">
            <v>Filler</v>
          </cell>
          <cell r="E32"/>
        </row>
        <row r="33">
          <cell r="B33" t="str">
            <v>Raw Material</v>
          </cell>
          <cell r="C33" t="str">
            <v>G2</v>
          </cell>
          <cell r="D33" t="str">
            <v>G2 Transparent 80%</v>
          </cell>
          <cell r="E33"/>
        </row>
        <row r="34">
          <cell r="B34" t="str">
            <v>Raw Material</v>
          </cell>
          <cell r="C34" t="str">
            <v>G2</v>
          </cell>
          <cell r="D34" t="str">
            <v>Indoor G2 65%</v>
          </cell>
          <cell r="E34"/>
        </row>
        <row r="35">
          <cell r="B35" t="str">
            <v>Raw Material</v>
          </cell>
          <cell r="C35" t="str">
            <v>G2</v>
          </cell>
          <cell r="D35" t="str">
            <v>PIR</v>
          </cell>
          <cell r="E35"/>
        </row>
        <row r="36">
          <cell r="B36" t="str">
            <v>Raw Material</v>
          </cell>
          <cell r="C36" t="str">
            <v>G2</v>
          </cell>
          <cell r="D36" t="str">
            <v>PCR</v>
          </cell>
          <cell r="E36"/>
        </row>
        <row r="37">
          <cell r="B37" t="str">
            <v>Raw Material</v>
          </cell>
          <cell r="C37" t="str">
            <v>G2</v>
          </cell>
          <cell r="D37" t="str">
            <v>Agriculture G2 80%</v>
          </cell>
          <cell r="E37"/>
        </row>
        <row r="45">
          <cell r="B45" t="str">
            <v>Master Batch</v>
          </cell>
          <cell r="C45" t="str">
            <v>Color M.B.</v>
          </cell>
          <cell r="D45" t="str">
            <v>Black M.B. SRF 50%</v>
          </cell>
          <cell r="E45"/>
        </row>
        <row r="46">
          <cell r="B46" t="str">
            <v>Master Batch</v>
          </cell>
          <cell r="C46" t="str">
            <v>Color M.B.</v>
          </cell>
          <cell r="D46" t="str">
            <v>Black M.B. SRF 60%</v>
          </cell>
          <cell r="E46"/>
        </row>
        <row r="47">
          <cell r="B47" t="str">
            <v>Master Batch</v>
          </cell>
          <cell r="C47" t="str">
            <v>Color M.B.</v>
          </cell>
          <cell r="D47" t="str">
            <v>Black M.B. 40% PType</v>
          </cell>
          <cell r="E47"/>
        </row>
        <row r="48">
          <cell r="B48" t="str">
            <v>Master Batch</v>
          </cell>
          <cell r="C48" t="str">
            <v>Color M.B.</v>
          </cell>
          <cell r="D48" t="str">
            <v>Black M.B. 50% PType</v>
          </cell>
          <cell r="E48"/>
        </row>
        <row r="49">
          <cell r="B49" t="str">
            <v>Master Batch</v>
          </cell>
          <cell r="C49" t="str">
            <v>Color M.B.</v>
          </cell>
          <cell r="D49" t="str">
            <v>White M.B.</v>
          </cell>
          <cell r="E49"/>
        </row>
        <row r="50">
          <cell r="B50" t="str">
            <v>Master Batch</v>
          </cell>
          <cell r="C50" t="str">
            <v>Color M.B.</v>
          </cell>
          <cell r="D50" t="str">
            <v>Blue M.B.</v>
          </cell>
          <cell r="E50"/>
        </row>
        <row r="51">
          <cell r="B51" t="str">
            <v>Master Batch</v>
          </cell>
          <cell r="C51" t="str">
            <v>Color M.B.</v>
          </cell>
          <cell r="D51" t="str">
            <v>Silver M.B.</v>
          </cell>
          <cell r="E51"/>
        </row>
        <row r="52">
          <cell r="B52" t="str">
            <v>Master Batch</v>
          </cell>
          <cell r="C52" t="str">
            <v>Color M.B.</v>
          </cell>
          <cell r="D52" t="str">
            <v>Red M.B.</v>
          </cell>
          <cell r="E52"/>
        </row>
        <row r="53">
          <cell r="B53" t="str">
            <v>Master Batch</v>
          </cell>
          <cell r="C53" t="str">
            <v>Color M.B.</v>
          </cell>
          <cell r="D53" t="str">
            <v>Green M.B.</v>
          </cell>
          <cell r="E53"/>
        </row>
        <row r="54">
          <cell r="B54" t="str">
            <v>Master Batch</v>
          </cell>
          <cell r="C54" t="str">
            <v>Color M.B.</v>
          </cell>
          <cell r="D54" t="str">
            <v>Brown M.B.</v>
          </cell>
          <cell r="E54"/>
        </row>
        <row r="55">
          <cell r="B55" t="str">
            <v>Master Batch</v>
          </cell>
          <cell r="C55" t="str">
            <v>Color M.B.</v>
          </cell>
          <cell r="D55" t="str">
            <v>Yellow M.B.</v>
          </cell>
          <cell r="E55"/>
        </row>
        <row r="56">
          <cell r="B56" t="str">
            <v>Master Batch</v>
          </cell>
          <cell r="C56" t="str">
            <v>Additive M.B.</v>
          </cell>
          <cell r="D56" t="str">
            <v>Processing Aid</v>
          </cell>
          <cell r="E56" t="str">
            <v>PPA - 350</v>
          </cell>
        </row>
        <row r="57">
          <cell r="B57" t="str">
            <v>Master Batch</v>
          </cell>
          <cell r="C57" t="str">
            <v>Additive M.B.</v>
          </cell>
          <cell r="D57" t="str">
            <v>Processing Aid</v>
          </cell>
          <cell r="E57" t="str">
            <v>PPA - 550</v>
          </cell>
        </row>
        <row r="58">
          <cell r="B58" t="str">
            <v>Master Batch</v>
          </cell>
          <cell r="C58" t="str">
            <v>Additive M.B.</v>
          </cell>
          <cell r="D58" t="str">
            <v>Slip</v>
          </cell>
          <cell r="E58" t="str">
            <v>SL -590</v>
          </cell>
        </row>
        <row r="59">
          <cell r="B59" t="str">
            <v>Master Batch</v>
          </cell>
          <cell r="C59" t="str">
            <v>Additive M.B.</v>
          </cell>
          <cell r="D59" t="str">
            <v>Slip</v>
          </cell>
          <cell r="E59" t="str">
            <v>SL - 591</v>
          </cell>
        </row>
        <row r="60">
          <cell r="B60" t="str">
            <v>Master Batch</v>
          </cell>
          <cell r="C60" t="str">
            <v>Additive M.B.</v>
          </cell>
          <cell r="D60" t="str">
            <v>Slip</v>
          </cell>
          <cell r="E60" t="str">
            <v>SL - 59091</v>
          </cell>
        </row>
        <row r="61">
          <cell r="B61" t="str">
            <v>Master Batch</v>
          </cell>
          <cell r="C61" t="str">
            <v>Additive M.B.</v>
          </cell>
          <cell r="D61" t="str">
            <v>Antiblock</v>
          </cell>
          <cell r="E61" t="str">
            <v>AB - 5042</v>
          </cell>
        </row>
        <row r="62">
          <cell r="B62" t="str">
            <v>Master Batch</v>
          </cell>
          <cell r="C62" t="str">
            <v>Additive M.B.</v>
          </cell>
          <cell r="D62" t="str">
            <v>Antiblock</v>
          </cell>
          <cell r="E62" t="str">
            <v>AB - 1044</v>
          </cell>
        </row>
        <row r="63">
          <cell r="B63" t="str">
            <v>Master Batch</v>
          </cell>
          <cell r="C63" t="str">
            <v>Additive M.B.</v>
          </cell>
          <cell r="D63" t="str">
            <v>Anti Static</v>
          </cell>
          <cell r="E63" t="str">
            <v>AS - 203233</v>
          </cell>
        </row>
        <row r="64">
          <cell r="B64" t="str">
            <v>Master Batch</v>
          </cell>
          <cell r="C64" t="str">
            <v>Additive M.B.</v>
          </cell>
          <cell r="D64" t="str">
            <v>Anti Static</v>
          </cell>
          <cell r="E64" t="str">
            <v>AS - 103233</v>
          </cell>
        </row>
        <row r="65">
          <cell r="B65" t="str">
            <v>Master Batch</v>
          </cell>
          <cell r="C65" t="str">
            <v>Additive M.B.</v>
          </cell>
          <cell r="D65" t="str">
            <v>Anti Static</v>
          </cell>
          <cell r="E65" t="str">
            <v>AS - 1031</v>
          </cell>
        </row>
        <row r="66">
          <cell r="B66" t="str">
            <v>Master Batch</v>
          </cell>
          <cell r="C66" t="str">
            <v>Additive M.B.</v>
          </cell>
          <cell r="D66" t="str">
            <v>Anti Static</v>
          </cell>
          <cell r="E66" t="str">
            <v>AS - 1034</v>
          </cell>
        </row>
        <row r="67">
          <cell r="B67" t="str">
            <v>Master Batch</v>
          </cell>
          <cell r="C67" t="str">
            <v>Additive M.B.</v>
          </cell>
          <cell r="D67" t="str">
            <v>IR Reflector</v>
          </cell>
          <cell r="E67" t="str">
            <v>IR - 5040</v>
          </cell>
        </row>
        <row r="68">
          <cell r="B68" t="str">
            <v>Master Batch</v>
          </cell>
          <cell r="C68" t="str">
            <v>Additive M.B.</v>
          </cell>
          <cell r="D68" t="str">
            <v>AntiFog</v>
          </cell>
          <cell r="E68" t="str">
            <v>AF - 203233</v>
          </cell>
        </row>
        <row r="69">
          <cell r="B69" t="str">
            <v>Master Batch</v>
          </cell>
          <cell r="C69" t="str">
            <v>Additive M.B.</v>
          </cell>
          <cell r="D69" t="str">
            <v>AntiFog</v>
          </cell>
          <cell r="E69" t="str">
            <v>AF - 103233</v>
          </cell>
        </row>
        <row r="70">
          <cell r="B70" t="str">
            <v>Master Batch</v>
          </cell>
          <cell r="C70" t="str">
            <v>Additive M.B.</v>
          </cell>
          <cell r="D70" t="str">
            <v>AntiFog</v>
          </cell>
          <cell r="E70" t="str">
            <v>AF - 1035</v>
          </cell>
        </row>
        <row r="71">
          <cell r="B71" t="str">
            <v>Master Batch</v>
          </cell>
          <cell r="C71" t="str">
            <v>Additive M.B.</v>
          </cell>
          <cell r="D71" t="str">
            <v>AntiOxidant</v>
          </cell>
          <cell r="E71" t="str">
            <v>AOX - 2020</v>
          </cell>
        </row>
        <row r="72">
          <cell r="B72" t="str">
            <v>Master Batch</v>
          </cell>
          <cell r="C72" t="str">
            <v>Additive M.B.</v>
          </cell>
          <cell r="D72" t="str">
            <v>AntiOxidant</v>
          </cell>
          <cell r="E72" t="str">
            <v>AOX - 2021</v>
          </cell>
        </row>
        <row r="73">
          <cell r="B73" t="str">
            <v>Master Batch</v>
          </cell>
          <cell r="C73" t="str">
            <v>Additive M.B.</v>
          </cell>
          <cell r="D73" t="str">
            <v>UV Stablizer</v>
          </cell>
          <cell r="E73" t="str">
            <v>UV - 1501020 LL</v>
          </cell>
        </row>
        <row r="74">
          <cell r="B74" t="str">
            <v>Master Batch</v>
          </cell>
          <cell r="C74" t="str">
            <v>Additive M.B.</v>
          </cell>
          <cell r="D74" t="str">
            <v>UV Stablizer</v>
          </cell>
          <cell r="E74" t="str">
            <v>UV - 1501020 LD</v>
          </cell>
        </row>
        <row r="75">
          <cell r="B75" t="str">
            <v>Master Batch</v>
          </cell>
          <cell r="C75" t="str">
            <v>Additive M.B.</v>
          </cell>
          <cell r="D75" t="str">
            <v>UV Stablizer</v>
          </cell>
          <cell r="E75" t="str">
            <v>UV - 17220 LL</v>
          </cell>
        </row>
        <row r="76">
          <cell r="B76" t="str">
            <v>Master Batch</v>
          </cell>
          <cell r="C76" t="str">
            <v>Additive M.B.</v>
          </cell>
          <cell r="D76" t="str">
            <v>UV Stablizer</v>
          </cell>
          <cell r="E76" t="str">
            <v>UV - 17220 LD</v>
          </cell>
        </row>
        <row r="77">
          <cell r="B77" t="str">
            <v>Master Batch</v>
          </cell>
          <cell r="C77" t="str">
            <v>Additive M.B.</v>
          </cell>
          <cell r="D77" t="str">
            <v>UV Stablizer</v>
          </cell>
          <cell r="E77" t="str">
            <v>UV - 16420 LL</v>
          </cell>
        </row>
        <row r="78">
          <cell r="B78" t="str">
            <v>Master Batch</v>
          </cell>
          <cell r="C78" t="str">
            <v>Additive M.B.</v>
          </cell>
          <cell r="D78" t="str">
            <v>UV Stablizer</v>
          </cell>
          <cell r="E78" t="str">
            <v>UV - 16320 LL</v>
          </cell>
        </row>
        <row r="79">
          <cell r="B79" t="str">
            <v>Master Batch</v>
          </cell>
          <cell r="C79" t="str">
            <v>Additive M.B.</v>
          </cell>
          <cell r="D79" t="str">
            <v>Desicant</v>
          </cell>
          <cell r="E79" t="str">
            <v>Desicant</v>
          </cell>
        </row>
        <row r="80">
          <cell r="B80" t="str">
            <v>Master Batch</v>
          </cell>
          <cell r="C80" t="str">
            <v>Additive M.B.</v>
          </cell>
          <cell r="D80" t="str">
            <v>Light Diffuser</v>
          </cell>
          <cell r="E80" t="str">
            <v>Light Diffuser</v>
          </cell>
        </row>
        <row r="81">
          <cell r="B81" t="str">
            <v>Master Batch</v>
          </cell>
          <cell r="C81" t="str">
            <v>Additive M.B.</v>
          </cell>
          <cell r="D81" t="str">
            <v>Anti Virus</v>
          </cell>
          <cell r="E81" t="str">
            <v>Anti Virus</v>
          </cell>
        </row>
        <row r="82">
          <cell r="B82" t="str">
            <v>Master Batch</v>
          </cell>
          <cell r="C82" t="str">
            <v>Additive M.B.</v>
          </cell>
          <cell r="D82" t="str">
            <v>M1 40 EVA</v>
          </cell>
          <cell r="E82" t="str">
            <v>M1 40 EVA</v>
          </cell>
        </row>
        <row r="83">
          <cell r="B83" t="str">
            <v>Master Batch</v>
          </cell>
          <cell r="C83" t="str">
            <v>Additive M.B.</v>
          </cell>
          <cell r="D83" t="str">
            <v>Biodegredable</v>
          </cell>
          <cell r="E83" t="str">
            <v>Bio EIS-100056</v>
          </cell>
        </row>
        <row r="84">
          <cell r="B84" t="str">
            <v>Master Batch</v>
          </cell>
          <cell r="C84" t="str">
            <v>Additive M.B.</v>
          </cell>
          <cell r="D84" t="str">
            <v>Black Conductive</v>
          </cell>
          <cell r="E84"/>
        </row>
        <row r="85">
          <cell r="B85" t="str">
            <v>Master Batch</v>
          </cell>
          <cell r="C85" t="str">
            <v>Additive M.B.</v>
          </cell>
          <cell r="D85" t="str">
            <v>IR Absorber</v>
          </cell>
          <cell r="E85" t="str">
            <v>Second Sky</v>
          </cell>
        </row>
        <row r="101">
          <cell r="B101" t="str">
            <v>Kind</v>
          </cell>
          <cell r="C101" t="str">
            <v>Type</v>
          </cell>
          <cell r="D101" t="str">
            <v>Raw Material Grade</v>
          </cell>
          <cell r="E101"/>
        </row>
        <row r="102">
          <cell r="B102" t="str">
            <v>Printing Material</v>
          </cell>
          <cell r="C102" t="str">
            <v>Ink</v>
          </cell>
          <cell r="D102" t="str">
            <v>Black Flexo</v>
          </cell>
          <cell r="E102"/>
        </row>
        <row r="103">
          <cell r="B103" t="str">
            <v>Printing Material</v>
          </cell>
          <cell r="C103" t="str">
            <v>Ink</v>
          </cell>
          <cell r="D103" t="str">
            <v>White Flexo</v>
          </cell>
          <cell r="E103"/>
        </row>
        <row r="104">
          <cell r="B104" t="str">
            <v>Printing Material</v>
          </cell>
          <cell r="C104" t="str">
            <v>Ink</v>
          </cell>
          <cell r="D104" t="str">
            <v>Gold Flexo</v>
          </cell>
          <cell r="E104"/>
        </row>
        <row r="105">
          <cell r="B105" t="str">
            <v>Printing Material</v>
          </cell>
          <cell r="C105" t="str">
            <v>Ink</v>
          </cell>
          <cell r="D105" t="str">
            <v>Cyan Flexo</v>
          </cell>
          <cell r="E105"/>
        </row>
        <row r="106">
          <cell r="B106" t="str">
            <v>Printing Material</v>
          </cell>
          <cell r="C106" t="str">
            <v>Ink</v>
          </cell>
          <cell r="D106" t="str">
            <v>Magenta Flexo</v>
          </cell>
          <cell r="E106"/>
        </row>
        <row r="107">
          <cell r="B107" t="str">
            <v>Printing Material</v>
          </cell>
          <cell r="C107" t="str">
            <v>Ink</v>
          </cell>
          <cell r="D107" t="str">
            <v>Warm Red Flexo</v>
          </cell>
          <cell r="E107"/>
        </row>
        <row r="108">
          <cell r="B108" t="str">
            <v>Printing Material</v>
          </cell>
          <cell r="C108" t="str">
            <v>Ink</v>
          </cell>
          <cell r="D108" t="str">
            <v>Reflex Blue Flexo</v>
          </cell>
          <cell r="E108"/>
        </row>
        <row r="109">
          <cell r="B109" t="str">
            <v>Printing Material</v>
          </cell>
          <cell r="C109" t="str">
            <v>Ink</v>
          </cell>
          <cell r="D109" t="str">
            <v>Green Flexo</v>
          </cell>
          <cell r="E109"/>
        </row>
        <row r="110">
          <cell r="B110" t="str">
            <v>Printing Material</v>
          </cell>
          <cell r="C110" t="str">
            <v>Ink</v>
          </cell>
          <cell r="D110" t="str">
            <v>Polish Flexo</v>
          </cell>
          <cell r="E110"/>
        </row>
        <row r="111">
          <cell r="B111" t="str">
            <v>Printing Material</v>
          </cell>
          <cell r="C111" t="str">
            <v>Ink</v>
          </cell>
          <cell r="D111" t="str">
            <v>Black Stack</v>
          </cell>
          <cell r="E111"/>
        </row>
        <row r="112">
          <cell r="B112" t="str">
            <v>Printing Material</v>
          </cell>
          <cell r="C112" t="str">
            <v>Ink</v>
          </cell>
          <cell r="D112" t="str">
            <v>White Stack</v>
          </cell>
          <cell r="E112"/>
        </row>
        <row r="113">
          <cell r="B113" t="str">
            <v>Printing Material</v>
          </cell>
          <cell r="C113" t="str">
            <v>Ink</v>
          </cell>
          <cell r="D113" t="str">
            <v>Gold Stack</v>
          </cell>
          <cell r="E113"/>
        </row>
        <row r="114">
          <cell r="B114" t="str">
            <v>Printing Material</v>
          </cell>
          <cell r="C114" t="str">
            <v>Ink</v>
          </cell>
          <cell r="D114" t="str">
            <v>Blue Stack</v>
          </cell>
          <cell r="E114"/>
        </row>
        <row r="115">
          <cell r="B115" t="str">
            <v>Printing Material</v>
          </cell>
          <cell r="C115" t="str">
            <v>Ink</v>
          </cell>
          <cell r="D115" t="str">
            <v>Red Stack</v>
          </cell>
          <cell r="E115"/>
        </row>
        <row r="116">
          <cell r="B116" t="str">
            <v>Printing Material</v>
          </cell>
          <cell r="C116" t="str">
            <v>Solvent</v>
          </cell>
          <cell r="D116" t="str">
            <v>IPA Solvent</v>
          </cell>
          <cell r="E116"/>
        </row>
        <row r="117">
          <cell r="B117" t="str">
            <v>Printing Material</v>
          </cell>
          <cell r="C117" t="str">
            <v>Solvent</v>
          </cell>
          <cell r="D117" t="str">
            <v>Ethyl Glycol Solvent</v>
          </cell>
          <cell r="E117"/>
        </row>
        <row r="118">
          <cell r="B118" t="str">
            <v>Printing Material</v>
          </cell>
          <cell r="C118" t="str">
            <v>Solvent</v>
          </cell>
          <cell r="D118" t="str">
            <v>Solvent 604</v>
          </cell>
          <cell r="E118"/>
        </row>
        <row r="119">
          <cell r="B119" t="str">
            <v>Printing Material</v>
          </cell>
          <cell r="C119" t="str">
            <v>Solvent</v>
          </cell>
          <cell r="D119" t="str">
            <v>Acetate Solvent</v>
          </cell>
          <cell r="E119"/>
        </row>
        <row r="120">
          <cell r="B120" t="str">
            <v>Printing Material</v>
          </cell>
          <cell r="C120" t="str">
            <v>Printing Additives</v>
          </cell>
          <cell r="D120" t="str">
            <v>Anti Scratch</v>
          </cell>
          <cell r="E120"/>
        </row>
        <row r="129">
          <cell r="B129" t="str">
            <v>Kind</v>
          </cell>
          <cell r="C129" t="str">
            <v>Type</v>
          </cell>
          <cell r="D129" t="str">
            <v>Raw Material Grade</v>
          </cell>
          <cell r="E129"/>
        </row>
        <row r="130">
          <cell r="B130" t="str">
            <v>Core Material</v>
          </cell>
          <cell r="C130" t="str">
            <v>Paper</v>
          </cell>
          <cell r="D130" t="str">
            <v>Test Paper 150 gm</v>
          </cell>
          <cell r="E130"/>
        </row>
        <row r="131">
          <cell r="B131" t="str">
            <v>Core Material</v>
          </cell>
          <cell r="C131" t="str">
            <v>Paper</v>
          </cell>
          <cell r="D131" t="str">
            <v>Manila</v>
          </cell>
          <cell r="E131"/>
        </row>
        <row r="132">
          <cell r="B132" t="str">
            <v>Core Material</v>
          </cell>
          <cell r="C132" t="str">
            <v>Paper</v>
          </cell>
          <cell r="D132" t="str">
            <v>Core Board 400 Joul</v>
          </cell>
          <cell r="E132"/>
        </row>
        <row r="133">
          <cell r="B133" t="str">
            <v>Core Material</v>
          </cell>
          <cell r="C133" t="str">
            <v>Paper</v>
          </cell>
          <cell r="D133" t="str">
            <v>Core Board 200 Joul</v>
          </cell>
          <cell r="E133"/>
        </row>
        <row r="134">
          <cell r="B134" t="str">
            <v>Core Material</v>
          </cell>
          <cell r="C134" t="str">
            <v>Paper Adhesive</v>
          </cell>
          <cell r="D134" t="str">
            <v>White Adhesive</v>
          </cell>
          <cell r="E134"/>
        </row>
        <row r="135">
          <cell r="B135" t="str">
            <v>Core Material</v>
          </cell>
          <cell r="C135" t="str">
            <v>Paper Adhesive</v>
          </cell>
          <cell r="D135" t="str">
            <v>Vegetable Adhesive</v>
          </cell>
          <cell r="E135"/>
        </row>
        <row r="140">
          <cell r="B140" t="str">
            <v>Kind</v>
          </cell>
          <cell r="C140" t="str">
            <v>Type</v>
          </cell>
          <cell r="D140" t="str">
            <v>Raw Material Grade</v>
          </cell>
          <cell r="E140"/>
        </row>
        <row r="141">
          <cell r="B141" t="str">
            <v xml:space="preserve">Packaging </v>
          </cell>
          <cell r="C141" t="str">
            <v>Pallets</v>
          </cell>
          <cell r="D141" t="str">
            <v>Pallet 1300*1100</v>
          </cell>
          <cell r="E141"/>
        </row>
        <row r="142">
          <cell r="B142" t="str">
            <v xml:space="preserve">Packaging </v>
          </cell>
          <cell r="C142" t="str">
            <v>Pallets</v>
          </cell>
          <cell r="D142" t="str">
            <v>Pallet 1200*1100</v>
          </cell>
          <cell r="E142"/>
        </row>
        <row r="143">
          <cell r="B143" t="str">
            <v xml:space="preserve">Packaging </v>
          </cell>
          <cell r="C143" t="str">
            <v>Pallets</v>
          </cell>
          <cell r="D143" t="str">
            <v>Pallet 1200*800</v>
          </cell>
          <cell r="E143"/>
        </row>
        <row r="144">
          <cell r="B144" t="str">
            <v xml:space="preserve">Packaging </v>
          </cell>
          <cell r="C144" t="str">
            <v>Wood Box</v>
          </cell>
          <cell r="D144" t="str">
            <v>Box1</v>
          </cell>
          <cell r="E144"/>
        </row>
        <row r="145">
          <cell r="B145" t="str">
            <v xml:space="preserve">Packaging </v>
          </cell>
          <cell r="C145" t="str">
            <v>Wood Box</v>
          </cell>
          <cell r="D145" t="str">
            <v>Box1</v>
          </cell>
          <cell r="E145"/>
        </row>
        <row r="146">
          <cell r="B146" t="str">
            <v xml:space="preserve">Packaging </v>
          </cell>
          <cell r="C146" t="str">
            <v>Wood Box</v>
          </cell>
          <cell r="D146" t="str">
            <v>Box1</v>
          </cell>
          <cell r="E146"/>
        </row>
        <row r="147">
          <cell r="B147" t="str">
            <v xml:space="preserve">Packaging </v>
          </cell>
          <cell r="C147" t="str">
            <v>Wood Box</v>
          </cell>
          <cell r="D147" t="str">
            <v>Box1</v>
          </cell>
          <cell r="E147"/>
        </row>
        <row r="148">
          <cell r="B148" t="str">
            <v xml:space="preserve">Packaging </v>
          </cell>
          <cell r="C148" t="str">
            <v>Wood Box</v>
          </cell>
          <cell r="D148" t="str">
            <v>Box1</v>
          </cell>
          <cell r="E148"/>
        </row>
        <row r="149">
          <cell r="B149" t="str">
            <v xml:space="preserve">Packaging </v>
          </cell>
          <cell r="C149" t="str">
            <v>Plastic Packaging</v>
          </cell>
          <cell r="D149" t="str">
            <v>Stretch Wrap</v>
          </cell>
          <cell r="E149"/>
        </row>
        <row r="150">
          <cell r="B150" t="str">
            <v xml:space="preserve">Packaging </v>
          </cell>
          <cell r="C150" t="str">
            <v>Plastic Packaging</v>
          </cell>
          <cell r="D150" t="str">
            <v>Plastic Bag</v>
          </cell>
          <cell r="E150" t="str">
            <v>60*120*80</v>
          </cell>
        </row>
        <row r="151">
          <cell r="B151" t="str">
            <v xml:space="preserve">Packaging </v>
          </cell>
          <cell r="C151" t="str">
            <v>Plastic Packaging</v>
          </cell>
          <cell r="D151"/>
          <cell r="E151"/>
        </row>
        <row r="152">
          <cell r="B152" t="str">
            <v xml:space="preserve">Packaging </v>
          </cell>
          <cell r="C152" t="str">
            <v>Plastic Packaging</v>
          </cell>
          <cell r="D152"/>
          <cell r="E152"/>
        </row>
        <row r="153">
          <cell r="B153" t="str">
            <v xml:space="preserve">Packaging </v>
          </cell>
          <cell r="C153" t="str">
            <v>Plastic Packaging</v>
          </cell>
          <cell r="D153"/>
          <cell r="E153"/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5AF6-64F6-594C-B497-2B144778C24C}">
  <sheetPr>
    <tabColor theme="8" tint="0.59999389629810485"/>
  </sheetPr>
  <dimension ref="A1:N139"/>
  <sheetViews>
    <sheetView tabSelected="1" zoomScaleNormal="110" workbookViewId="0">
      <selection activeCell="H5" sqref="H5"/>
    </sheetView>
  </sheetViews>
  <sheetFormatPr baseColWidth="10" defaultRowHeight="30" customHeight="1" x14ac:dyDescent="0.2"/>
  <cols>
    <col min="1" max="1" width="7" style="56" customWidth="1"/>
    <col min="2" max="2" width="18.6640625" style="57" bestFit="1" customWidth="1"/>
    <col min="3" max="3" width="18.6640625" style="57" customWidth="1"/>
    <col min="4" max="4" width="18.6640625" style="57" bestFit="1" customWidth="1"/>
    <col min="5" max="5" width="25" style="57" customWidth="1"/>
    <col min="6" max="6" width="25.6640625" style="57" bestFit="1" customWidth="1"/>
    <col min="7" max="7" width="14.6640625" style="57" customWidth="1"/>
    <col min="8" max="12" width="15.1640625" style="57" customWidth="1"/>
    <col min="13" max="13" width="13.6640625" style="57" customWidth="1"/>
    <col min="14" max="14" width="16.5" style="57" customWidth="1"/>
    <col min="15" max="16384" width="10.83203125" style="56"/>
  </cols>
  <sheetData>
    <row r="1" spans="2:14" ht="30" customHeight="1" thickBot="1" x14ac:dyDescent="0.25"/>
    <row r="2" spans="2:14" ht="41" customHeight="1" thickBot="1" x14ac:dyDescent="0.25">
      <c r="B2" s="69" t="s">
        <v>62</v>
      </c>
      <c r="C2" s="70"/>
      <c r="D2" s="70"/>
      <c r="E2" s="70"/>
      <c r="F2" s="70"/>
      <c r="G2" s="68"/>
      <c r="H2" s="71">
        <f>'[1]Raw Material'!$J$4</f>
        <v>46114</v>
      </c>
      <c r="I2" s="166"/>
      <c r="J2" s="164"/>
      <c r="K2" s="168"/>
    </row>
    <row r="3" spans="2:14" ht="30" customHeight="1" x14ac:dyDescent="0.2">
      <c r="B3" s="58"/>
      <c r="C3" s="58"/>
    </row>
    <row r="4" spans="2:14" ht="30" customHeight="1" x14ac:dyDescent="0.2">
      <c r="B4" s="59" t="s">
        <v>63</v>
      </c>
      <c r="C4" s="60">
        <f>'[1]Raw Material'!C4</f>
        <v>55</v>
      </c>
      <c r="F4" s="59" t="s">
        <v>64</v>
      </c>
      <c r="G4" s="61">
        <f>'[1]Raw Material'!F4</f>
        <v>7.0000000000000007E-2</v>
      </c>
      <c r="I4" s="167"/>
      <c r="L4" s="56"/>
      <c r="M4" s="56"/>
      <c r="N4" s="56"/>
    </row>
    <row r="5" spans="2:14" ht="30" customHeight="1" x14ac:dyDescent="0.2">
      <c r="B5" s="60" t="s">
        <v>65</v>
      </c>
      <c r="C5" s="60">
        <f>'[1]Raw Material'!C5</f>
        <v>1.1599999999999999</v>
      </c>
      <c r="F5" s="60" t="s">
        <v>66</v>
      </c>
      <c r="G5" s="61">
        <f>'[1]Raw Material'!F5</f>
        <v>0.05</v>
      </c>
      <c r="I5" s="167"/>
      <c r="L5" s="56"/>
      <c r="M5" s="56"/>
      <c r="N5" s="56"/>
    </row>
    <row r="7" spans="2:14" ht="30" customHeight="1" x14ac:dyDescent="0.2">
      <c r="B7" s="165" t="s">
        <v>67</v>
      </c>
      <c r="C7" s="165" t="s">
        <v>91</v>
      </c>
      <c r="D7" s="165" t="s">
        <v>69</v>
      </c>
      <c r="E7" s="165" t="s">
        <v>70</v>
      </c>
      <c r="F7" s="165" t="s">
        <v>71</v>
      </c>
      <c r="G7" s="165" t="s">
        <v>92</v>
      </c>
      <c r="H7" s="165" t="s">
        <v>93</v>
      </c>
      <c r="I7" s="165" t="s">
        <v>96</v>
      </c>
      <c r="J7" s="165" t="s">
        <v>94</v>
      </c>
      <c r="K7" s="165" t="s">
        <v>97</v>
      </c>
      <c r="L7" s="165" t="s">
        <v>95</v>
      </c>
      <c r="M7" s="165" t="s">
        <v>98</v>
      </c>
      <c r="N7" s="165" t="s">
        <v>99</v>
      </c>
    </row>
    <row r="8" spans="2:14" ht="30" customHeight="1" x14ac:dyDescent="0.2"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</row>
    <row r="9" spans="2:14" ht="30" customHeight="1" x14ac:dyDescent="0.2">
      <c r="B9" s="60" t="str">
        <f>'[1]Raw Material'!B8</f>
        <v>Raw Material</v>
      </c>
      <c r="C9" s="60"/>
      <c r="D9" s="60" t="str">
        <f>'[1]Raw Material'!C8</f>
        <v>PE</v>
      </c>
      <c r="E9" s="60" t="str">
        <f>'[1]Raw Material'!D8</f>
        <v>LDPE</v>
      </c>
      <c r="F9" s="60">
        <f>'[1]Raw Material'!E8</f>
        <v>0</v>
      </c>
      <c r="G9" s="60"/>
      <c r="H9" s="62">
        <v>2145.35</v>
      </c>
      <c r="I9" s="62"/>
      <c r="J9" s="62"/>
      <c r="K9" s="62"/>
      <c r="L9" s="62"/>
      <c r="M9" s="62"/>
      <c r="N9" s="62"/>
    </row>
    <row r="10" spans="2:14" ht="30" customHeight="1" x14ac:dyDescent="0.2">
      <c r="B10" s="60" t="str">
        <f>'[1]Raw Material'!B9</f>
        <v>Raw Material</v>
      </c>
      <c r="C10" s="60"/>
      <c r="D10" s="60" t="str">
        <f>'[1]Raw Material'!C9</f>
        <v>PE</v>
      </c>
      <c r="E10" s="60" t="str">
        <f>'[1]Raw Material'!D9</f>
        <v>LLDPE</v>
      </c>
      <c r="F10" s="60">
        <f>'[1]Raw Material'!E9</f>
        <v>0</v>
      </c>
      <c r="G10" s="60"/>
      <c r="H10" s="62">
        <v>1904.6</v>
      </c>
      <c r="I10" s="62"/>
      <c r="J10" s="62"/>
      <c r="K10" s="62"/>
      <c r="L10" s="62"/>
      <c r="M10" s="62"/>
      <c r="N10" s="62"/>
    </row>
    <row r="11" spans="2:14" ht="30" customHeight="1" x14ac:dyDescent="0.2">
      <c r="B11" s="60" t="str">
        <f>'[1]Raw Material'!B10</f>
        <v>Raw Material</v>
      </c>
      <c r="C11" s="60"/>
      <c r="D11" s="60" t="str">
        <f>'[1]Raw Material'!C10</f>
        <v>PE</v>
      </c>
      <c r="E11" s="60" t="str">
        <f>'[1]Raw Material'!D10</f>
        <v>LLDPE 6201</v>
      </c>
      <c r="F11" s="60">
        <f>'[1]Raw Material'!E10</f>
        <v>0</v>
      </c>
      <c r="G11" s="60"/>
      <c r="H11" s="62">
        <v>1904.6</v>
      </c>
      <c r="I11" s="62"/>
      <c r="J11" s="62"/>
      <c r="K11" s="62"/>
      <c r="L11" s="62"/>
      <c r="M11" s="62"/>
      <c r="N11" s="62"/>
    </row>
    <row r="12" spans="2:14" ht="30" customHeight="1" x14ac:dyDescent="0.2">
      <c r="B12" s="60" t="str">
        <f>'[1]Raw Material'!B11</f>
        <v>Raw Material</v>
      </c>
      <c r="C12" s="60"/>
      <c r="D12" s="60" t="str">
        <f>'[1]Raw Material'!C11</f>
        <v>PE</v>
      </c>
      <c r="E12" s="60" t="str">
        <f>'[1]Raw Material'!D11</f>
        <v>HDPE</v>
      </c>
      <c r="F12" s="60">
        <f>'[1]Raw Material'!E11</f>
        <v>0</v>
      </c>
      <c r="G12" s="60"/>
      <c r="H12" s="62">
        <v>1952.75</v>
      </c>
      <c r="I12" s="62"/>
      <c r="J12" s="62"/>
      <c r="K12" s="62"/>
      <c r="L12" s="62"/>
      <c r="M12" s="62"/>
      <c r="N12" s="62"/>
    </row>
    <row r="13" spans="2:14" ht="30" customHeight="1" x14ac:dyDescent="0.2">
      <c r="B13" s="60" t="str">
        <f>'[1]Raw Material'!B12</f>
        <v>Raw Material</v>
      </c>
      <c r="C13" s="60"/>
      <c r="D13" s="60" t="str">
        <f>'[1]Raw Material'!C12</f>
        <v>PE</v>
      </c>
      <c r="E13" s="60" t="str">
        <f>'[1]Raw Material'!D12</f>
        <v>HDPE HTA108</v>
      </c>
      <c r="F13" s="60">
        <f>'[1]Raw Material'!E12</f>
        <v>0</v>
      </c>
      <c r="G13" s="60"/>
      <c r="H13" s="62">
        <v>1974.15</v>
      </c>
      <c r="I13" s="62"/>
      <c r="J13" s="62"/>
      <c r="K13" s="62"/>
      <c r="L13" s="62"/>
      <c r="M13" s="62"/>
      <c r="N13" s="62"/>
    </row>
    <row r="14" spans="2:14" ht="30" customHeight="1" x14ac:dyDescent="0.2">
      <c r="B14" s="60" t="str">
        <f>'[1]Raw Material'!B13</f>
        <v>Raw Material</v>
      </c>
      <c r="C14" s="60"/>
      <c r="D14" s="60" t="str">
        <f>'[1]Raw Material'!C13</f>
        <v>PE</v>
      </c>
      <c r="E14" s="60" t="str">
        <f>'[1]Raw Material'!D13</f>
        <v>MDPE</v>
      </c>
      <c r="F14" s="60">
        <f>'[1]Raw Material'!E13</f>
        <v>0</v>
      </c>
      <c r="G14" s="60"/>
      <c r="H14" s="62">
        <v>2006.25</v>
      </c>
      <c r="I14" s="62"/>
      <c r="J14" s="62"/>
      <c r="K14" s="62"/>
      <c r="L14" s="62"/>
      <c r="M14" s="62"/>
      <c r="N14" s="62"/>
    </row>
    <row r="15" spans="2:14" ht="30" customHeight="1" x14ac:dyDescent="0.2">
      <c r="B15" s="60" t="str">
        <f>'[1]Raw Material'!B14</f>
        <v>Raw Material</v>
      </c>
      <c r="C15" s="60"/>
      <c r="D15" s="60" t="str">
        <f>'[1]Raw Material'!C14</f>
        <v>PE</v>
      </c>
      <c r="E15" s="60" t="str">
        <f>'[1]Raw Material'!D14</f>
        <v>Enable</v>
      </c>
      <c r="F15" s="60">
        <f>'[1]Raw Material'!E14</f>
        <v>0</v>
      </c>
      <c r="G15" s="60"/>
      <c r="H15" s="62">
        <v>1979.5</v>
      </c>
      <c r="I15" s="62"/>
      <c r="J15" s="62"/>
      <c r="K15" s="62"/>
      <c r="L15" s="62"/>
      <c r="M15" s="62"/>
      <c r="N15" s="62"/>
    </row>
    <row r="16" spans="2:14" ht="30" customHeight="1" x14ac:dyDescent="0.2">
      <c r="B16" s="60" t="str">
        <f>'[1]Raw Material'!B15</f>
        <v>Raw Material</v>
      </c>
      <c r="C16" s="60"/>
      <c r="D16" s="60" t="str">
        <f>'[1]Raw Material'!C15</f>
        <v>PE</v>
      </c>
      <c r="E16" s="60" t="str">
        <f>'[1]Raw Material'!D15</f>
        <v>Enable 3305</v>
      </c>
      <c r="F16" s="60">
        <f>'[1]Raw Material'!E15</f>
        <v>0</v>
      </c>
      <c r="G16" s="60"/>
      <c r="H16" s="62">
        <v>1979.5</v>
      </c>
      <c r="I16" s="62"/>
      <c r="J16" s="62"/>
      <c r="K16" s="62"/>
      <c r="L16" s="62"/>
      <c r="M16" s="62"/>
      <c r="N16" s="62"/>
    </row>
    <row r="17" spans="2:14" ht="30" customHeight="1" x14ac:dyDescent="0.2">
      <c r="B17" s="60" t="str">
        <f>'[1]Raw Material'!B16</f>
        <v>Raw Material</v>
      </c>
      <c r="C17" s="60"/>
      <c r="D17" s="60" t="str">
        <f>'[1]Raw Material'!C16</f>
        <v>PE</v>
      </c>
      <c r="E17" s="60" t="str">
        <f>'[1]Raw Material'!D16</f>
        <v>MDPE K307</v>
      </c>
      <c r="F17" s="60">
        <f>'[1]Raw Material'!E16</f>
        <v>0</v>
      </c>
      <c r="G17" s="60"/>
      <c r="H17" s="62">
        <v>2113.25</v>
      </c>
      <c r="I17" s="62"/>
      <c r="J17" s="62"/>
      <c r="K17" s="62"/>
      <c r="L17" s="62"/>
      <c r="M17" s="62"/>
      <c r="N17" s="62"/>
    </row>
    <row r="18" spans="2:14" ht="30" customHeight="1" x14ac:dyDescent="0.2">
      <c r="B18" s="60" t="str">
        <f>'[1]Raw Material'!B17</f>
        <v>Raw Material</v>
      </c>
      <c r="C18" s="60"/>
      <c r="D18" s="60" t="str">
        <f>'[1]Raw Material'!C17</f>
        <v>PE</v>
      </c>
      <c r="E18" s="60" t="str">
        <f>'[1]Raw Material'!D17</f>
        <v>Exceed</v>
      </c>
      <c r="F18" s="60">
        <f>'[1]Raw Material'!E17</f>
        <v>0</v>
      </c>
      <c r="G18" s="60"/>
      <c r="H18" s="62">
        <v>2000.9</v>
      </c>
      <c r="I18" s="62"/>
      <c r="J18" s="62"/>
      <c r="K18" s="62"/>
      <c r="L18" s="62"/>
      <c r="M18" s="62"/>
      <c r="N18" s="62"/>
    </row>
    <row r="19" spans="2:14" ht="30" customHeight="1" x14ac:dyDescent="0.2">
      <c r="B19" s="60" t="str">
        <f>'[1]Raw Material'!B18</f>
        <v>Raw Material</v>
      </c>
      <c r="C19" s="60"/>
      <c r="D19" s="60" t="str">
        <f>'[1]Raw Material'!C18</f>
        <v>PE</v>
      </c>
      <c r="E19" s="60" t="str">
        <f>'[1]Raw Material'!D18</f>
        <v>Exceed XP</v>
      </c>
      <c r="F19" s="60">
        <f>'[1]Raw Material'!E18</f>
        <v>0</v>
      </c>
      <c r="G19" s="60"/>
      <c r="H19" s="62">
        <v>2123.9499999999998</v>
      </c>
      <c r="I19" s="62"/>
      <c r="J19" s="62"/>
      <c r="K19" s="62"/>
      <c r="L19" s="62"/>
      <c r="M19" s="62"/>
      <c r="N19" s="62"/>
    </row>
    <row r="20" spans="2:14" ht="30" customHeight="1" x14ac:dyDescent="0.2">
      <c r="B20" s="60" t="str">
        <f>'[1]Raw Material'!B19</f>
        <v>Raw Material</v>
      </c>
      <c r="C20" s="60"/>
      <c r="D20" s="60" t="str">
        <f>'[1]Raw Material'!C19</f>
        <v>PE</v>
      </c>
      <c r="E20" s="60" t="str">
        <f>'[1]Raw Material'!D19</f>
        <v>Exceed XP7</v>
      </c>
      <c r="F20" s="60">
        <f>'[1]Raw Material'!E19</f>
        <v>0</v>
      </c>
      <c r="G20" s="60"/>
      <c r="H20" s="62">
        <v>2166.75</v>
      </c>
      <c r="I20" s="62"/>
      <c r="J20" s="62"/>
      <c r="K20" s="62"/>
      <c r="L20" s="62"/>
      <c r="M20" s="62"/>
      <c r="N20" s="62"/>
    </row>
    <row r="21" spans="2:14" ht="30" customHeight="1" x14ac:dyDescent="0.2">
      <c r="B21" s="60" t="str">
        <f>'[1]Raw Material'!B20</f>
        <v>Raw Material</v>
      </c>
      <c r="C21" s="60"/>
      <c r="D21" s="60" t="str">
        <f>'[1]Raw Material'!C20</f>
        <v>PE</v>
      </c>
      <c r="E21" s="60" t="str">
        <f>'[1]Raw Material'!D20</f>
        <v>Exceed S</v>
      </c>
      <c r="F21" s="60">
        <f>'[1]Raw Material'!E20</f>
        <v>0</v>
      </c>
      <c r="G21" s="60"/>
      <c r="H21" s="62">
        <v>2054.4</v>
      </c>
      <c r="I21" s="62"/>
      <c r="J21" s="62"/>
      <c r="K21" s="62"/>
      <c r="L21" s="62"/>
      <c r="M21" s="62"/>
      <c r="N21" s="62"/>
    </row>
    <row r="22" spans="2:14" ht="30" customHeight="1" x14ac:dyDescent="0.2">
      <c r="B22" s="60" t="str">
        <f>'[1]Raw Material'!B21</f>
        <v>Raw Material</v>
      </c>
      <c r="C22" s="60"/>
      <c r="D22" s="60" t="str">
        <f>'[1]Raw Material'!C21</f>
        <v>PP</v>
      </c>
      <c r="E22" s="60" t="str">
        <f>'[1]Raw Material'!D21</f>
        <v>PP</v>
      </c>
      <c r="F22" s="60">
        <f>'[1]Raw Material'!E21</f>
        <v>0</v>
      </c>
      <c r="G22" s="60"/>
      <c r="H22" s="62">
        <v>1909.95</v>
      </c>
      <c r="I22" s="62"/>
      <c r="J22" s="62"/>
      <c r="K22" s="62"/>
      <c r="L22" s="62"/>
      <c r="M22" s="62"/>
      <c r="N22" s="62"/>
    </row>
    <row r="23" spans="2:14" ht="30" customHeight="1" x14ac:dyDescent="0.2">
      <c r="B23" s="60" t="str">
        <f>'[1]Raw Material'!B22</f>
        <v>Raw Material</v>
      </c>
      <c r="C23" s="60"/>
      <c r="D23" s="60" t="str">
        <f>'[1]Raw Material'!C22</f>
        <v>FPP</v>
      </c>
      <c r="E23" s="60" t="str">
        <f>'[1]Raw Material'!D22</f>
        <v>Hifax CA 10A</v>
      </c>
      <c r="F23" s="60">
        <f>'[1]Raw Material'!E22</f>
        <v>0</v>
      </c>
      <c r="G23" s="60"/>
      <c r="H23" s="62">
        <v>4964.8</v>
      </c>
      <c r="I23" s="62"/>
      <c r="J23" s="62"/>
      <c r="K23" s="62"/>
      <c r="L23" s="62"/>
      <c r="M23" s="62"/>
      <c r="N23" s="62"/>
    </row>
    <row r="24" spans="2:14" ht="30" customHeight="1" x14ac:dyDescent="0.2">
      <c r="B24" s="60" t="str">
        <f>'[1]Raw Material'!B23</f>
        <v>Raw Material</v>
      </c>
      <c r="C24" s="60"/>
      <c r="D24" s="60" t="str">
        <f>'[1]Raw Material'!C23</f>
        <v>EVA</v>
      </c>
      <c r="E24" s="60" t="str">
        <f>'[1]Raw Material'!D23</f>
        <v>EVA</v>
      </c>
      <c r="F24" s="60">
        <f>'[1]Raw Material'!E23</f>
        <v>0</v>
      </c>
      <c r="G24" s="60"/>
      <c r="H24" s="62">
        <v>2557.3000000000002</v>
      </c>
      <c r="I24" s="62"/>
      <c r="J24" s="62"/>
      <c r="K24" s="62"/>
      <c r="L24" s="62"/>
      <c r="M24" s="62"/>
      <c r="N24" s="62"/>
    </row>
    <row r="25" spans="2:14" ht="30" customHeight="1" x14ac:dyDescent="0.2">
      <c r="B25" s="60" t="str">
        <f>'[1]Raw Material'!B31</f>
        <v>Raw Material</v>
      </c>
      <c r="C25" s="60"/>
      <c r="D25" s="60" t="str">
        <f>'[1]Raw Material'!C31</f>
        <v>Copolymer</v>
      </c>
      <c r="E25" s="60" t="str">
        <f>'[1]Raw Material'!D31</f>
        <v>Vistamax</v>
      </c>
      <c r="F25" s="60">
        <f>'[1]Raw Material'!E31</f>
        <v>0</v>
      </c>
      <c r="G25" s="60"/>
      <c r="H25" s="62">
        <v>3477.5</v>
      </c>
      <c r="I25" s="62"/>
      <c r="J25" s="62"/>
      <c r="K25" s="62"/>
      <c r="L25" s="62"/>
      <c r="M25" s="62"/>
      <c r="N25" s="62"/>
    </row>
    <row r="26" spans="2:14" ht="30" customHeight="1" x14ac:dyDescent="0.2">
      <c r="B26" s="60" t="str">
        <f>'[1]Raw Material'!B32</f>
        <v>Raw Material</v>
      </c>
      <c r="C26" s="60"/>
      <c r="D26" s="60" t="str">
        <f>'[1]Raw Material'!C32</f>
        <v>Filler</v>
      </c>
      <c r="E26" s="60" t="str">
        <f>'[1]Raw Material'!D32</f>
        <v>Filler</v>
      </c>
      <c r="F26" s="60">
        <f>'[1]Raw Material'!E32</f>
        <v>0</v>
      </c>
      <c r="G26" s="60"/>
      <c r="H26" s="62">
        <v>509.09090909090907</v>
      </c>
      <c r="I26" s="62"/>
      <c r="J26" s="62"/>
      <c r="K26" s="62"/>
      <c r="L26" s="62"/>
      <c r="M26" s="62"/>
      <c r="N26" s="62"/>
    </row>
    <row r="27" spans="2:14" ht="30" customHeight="1" x14ac:dyDescent="0.2">
      <c r="B27" s="60" t="str">
        <f>'[1]Raw Material'!B33</f>
        <v>Raw Material</v>
      </c>
      <c r="C27" s="60"/>
      <c r="D27" s="60" t="str">
        <f>'[1]Raw Material'!C33</f>
        <v>G2</v>
      </c>
      <c r="E27" s="60" t="str">
        <f>'[1]Raw Material'!D33</f>
        <v>G2 Transparent 80%</v>
      </c>
      <c r="F27" s="60">
        <f>'[1]Raw Material'!E33</f>
        <v>0</v>
      </c>
      <c r="G27" s="60"/>
      <c r="H27" s="62">
        <v>1619.9800000000002</v>
      </c>
      <c r="I27" s="62"/>
      <c r="J27" s="62"/>
      <c r="K27" s="62"/>
      <c r="L27" s="62"/>
      <c r="M27" s="62"/>
      <c r="N27" s="62"/>
    </row>
    <row r="28" spans="2:14" ht="30" customHeight="1" x14ac:dyDescent="0.2">
      <c r="B28" s="60" t="str">
        <f>'[1]Raw Material'!B34</f>
        <v>Raw Material</v>
      </c>
      <c r="C28" s="60"/>
      <c r="D28" s="60" t="str">
        <f>'[1]Raw Material'!C34</f>
        <v>G2</v>
      </c>
      <c r="E28" s="60" t="str">
        <f>'[1]Raw Material'!D34</f>
        <v>Indoor G2 65%</v>
      </c>
      <c r="F28" s="60">
        <f>'[1]Raw Material'!E34</f>
        <v>0</v>
      </c>
      <c r="G28" s="60"/>
      <c r="H28" s="62">
        <v>1417.4824999999998</v>
      </c>
      <c r="I28" s="62"/>
      <c r="J28" s="62"/>
      <c r="K28" s="62"/>
      <c r="L28" s="62"/>
      <c r="M28" s="62"/>
      <c r="N28" s="62"/>
    </row>
    <row r="29" spans="2:14" ht="30" customHeight="1" x14ac:dyDescent="0.2">
      <c r="B29" s="60" t="str">
        <f>'[1]Raw Material'!B35</f>
        <v>Raw Material</v>
      </c>
      <c r="C29" s="60"/>
      <c r="D29" s="60" t="str">
        <f>'[1]Raw Material'!C35</f>
        <v>G2</v>
      </c>
      <c r="E29" s="60" t="str">
        <f>'[1]Raw Material'!D35</f>
        <v>PIR</v>
      </c>
      <c r="F29" s="60">
        <f>'[1]Raw Material'!E35</f>
        <v>0</v>
      </c>
      <c r="G29" s="60"/>
      <c r="H29" s="62">
        <v>1417.4824999999998</v>
      </c>
      <c r="I29" s="62"/>
      <c r="J29" s="62"/>
      <c r="K29" s="62"/>
      <c r="L29" s="62"/>
      <c r="M29" s="62"/>
      <c r="N29" s="62"/>
    </row>
    <row r="30" spans="2:14" ht="30" customHeight="1" x14ac:dyDescent="0.2">
      <c r="B30" s="60" t="str">
        <f>'[1]Raw Material'!B36</f>
        <v>Raw Material</v>
      </c>
      <c r="C30" s="60"/>
      <c r="D30" s="60" t="str">
        <f>'[1]Raw Material'!C36</f>
        <v>G2</v>
      </c>
      <c r="E30" s="60" t="str">
        <f>'[1]Raw Material'!D36</f>
        <v>PCR</v>
      </c>
      <c r="F30" s="60">
        <f>'[1]Raw Material'!E36</f>
        <v>0</v>
      </c>
      <c r="G30" s="60"/>
      <c r="H30" s="62">
        <v>818.18181818181813</v>
      </c>
      <c r="I30" s="62"/>
      <c r="J30" s="62"/>
      <c r="K30" s="62"/>
      <c r="L30" s="62"/>
      <c r="M30" s="62"/>
      <c r="N30" s="62"/>
    </row>
    <row r="31" spans="2:14" ht="30" customHeight="1" x14ac:dyDescent="0.2">
      <c r="B31" s="60" t="str">
        <f>'[1]Raw Material'!B37</f>
        <v>Raw Material</v>
      </c>
      <c r="C31" s="60"/>
      <c r="D31" s="60" t="str">
        <f>'[1]Raw Material'!C37</f>
        <v>G2</v>
      </c>
      <c r="E31" s="60" t="str">
        <f>'[1]Raw Material'!D37</f>
        <v>Agriculture G2 80%</v>
      </c>
      <c r="F31" s="60">
        <f>'[1]Raw Material'!E37</f>
        <v>0</v>
      </c>
      <c r="G31" s="60"/>
      <c r="H31" s="62">
        <v>1822.4775</v>
      </c>
      <c r="I31" s="62"/>
      <c r="J31" s="62"/>
      <c r="K31" s="62"/>
      <c r="L31" s="62"/>
      <c r="M31" s="62"/>
      <c r="N31" s="62"/>
    </row>
    <row r="32" spans="2:14" ht="30" customHeight="1" x14ac:dyDescent="0.2">
      <c r="B32" s="60" t="str">
        <f>'[1]Raw Material'!B45</f>
        <v>Master Batch</v>
      </c>
      <c r="C32" s="60"/>
      <c r="D32" s="60" t="str">
        <f>'[1]Raw Material'!C45</f>
        <v>Color M.B.</v>
      </c>
      <c r="E32" s="60" t="str">
        <f>'[1]Raw Material'!D45</f>
        <v>Black M.B. SRF 50%</v>
      </c>
      <c r="F32" s="60">
        <f>'[1]Raw Material'!E45</f>
        <v>0</v>
      </c>
      <c r="G32" s="60"/>
      <c r="H32" s="62">
        <v>0</v>
      </c>
      <c r="I32" s="62"/>
      <c r="J32" s="62"/>
      <c r="K32" s="62"/>
      <c r="L32" s="62"/>
      <c r="M32" s="62"/>
      <c r="N32" s="62"/>
    </row>
    <row r="33" spans="2:14" ht="30" customHeight="1" x14ac:dyDescent="0.2">
      <c r="B33" s="60" t="str">
        <f>'[1]Raw Material'!B46</f>
        <v>Master Batch</v>
      </c>
      <c r="C33" s="60"/>
      <c r="D33" s="60" t="str">
        <f>'[1]Raw Material'!C46</f>
        <v>Color M.B.</v>
      </c>
      <c r="E33" s="60" t="str">
        <f>'[1]Raw Material'!D46</f>
        <v>Black M.B. SRF 60%</v>
      </c>
      <c r="F33" s="60">
        <f>'[1]Raw Material'!E46</f>
        <v>0</v>
      </c>
      <c r="G33" s="60"/>
      <c r="H33" s="62">
        <v>3103</v>
      </c>
      <c r="I33" s="62"/>
      <c r="J33" s="62"/>
      <c r="K33" s="62"/>
      <c r="L33" s="62"/>
      <c r="M33" s="62"/>
      <c r="N33" s="62"/>
    </row>
    <row r="34" spans="2:14" ht="30" customHeight="1" x14ac:dyDescent="0.2">
      <c r="B34" s="60" t="str">
        <f>'[1]Raw Material'!B47</f>
        <v>Master Batch</v>
      </c>
      <c r="C34" s="60"/>
      <c r="D34" s="60" t="str">
        <f>'[1]Raw Material'!C47</f>
        <v>Color M.B.</v>
      </c>
      <c r="E34" s="60" t="str">
        <f>'[1]Raw Material'!D47</f>
        <v>Black M.B. 40% PType</v>
      </c>
      <c r="F34" s="60">
        <f>'[1]Raw Material'!E47</f>
        <v>0</v>
      </c>
      <c r="G34" s="60"/>
      <c r="H34" s="62">
        <v>2978.88</v>
      </c>
      <c r="I34" s="62"/>
      <c r="J34" s="62"/>
      <c r="K34" s="62"/>
      <c r="L34" s="62"/>
      <c r="M34" s="62"/>
      <c r="N34" s="62"/>
    </row>
    <row r="35" spans="2:14" ht="30" customHeight="1" x14ac:dyDescent="0.2">
      <c r="B35" s="60" t="str">
        <f>'[1]Raw Material'!B48</f>
        <v>Master Batch</v>
      </c>
      <c r="C35" s="60"/>
      <c r="D35" s="60" t="str">
        <f>'[1]Raw Material'!C48</f>
        <v>Color M.B.</v>
      </c>
      <c r="E35" s="60" t="str">
        <f>'[1]Raw Material'!D48</f>
        <v>Black M.B. 50% PType</v>
      </c>
      <c r="F35" s="60">
        <f>'[1]Raw Material'!E48</f>
        <v>0</v>
      </c>
      <c r="G35" s="60"/>
      <c r="H35" s="62">
        <v>3227.12</v>
      </c>
      <c r="I35" s="62"/>
      <c r="J35" s="62"/>
      <c r="K35" s="62"/>
      <c r="L35" s="62"/>
      <c r="M35" s="62"/>
      <c r="N35" s="62"/>
    </row>
    <row r="36" spans="2:14" ht="30" customHeight="1" x14ac:dyDescent="0.2">
      <c r="B36" s="60" t="str">
        <f>'[1]Raw Material'!B49</f>
        <v>Master Batch</v>
      </c>
      <c r="C36" s="60"/>
      <c r="D36" s="60" t="str">
        <f>'[1]Raw Material'!C49</f>
        <v>Color M.B.</v>
      </c>
      <c r="E36" s="60" t="str">
        <f>'[1]Raw Material'!D49</f>
        <v>White M.B.</v>
      </c>
      <c r="F36" s="60">
        <f>'[1]Raw Material'!E49</f>
        <v>0</v>
      </c>
      <c r="G36" s="60"/>
      <c r="H36" s="62">
        <v>3181.818181818182</v>
      </c>
      <c r="I36" s="62"/>
      <c r="J36" s="62"/>
      <c r="K36" s="62"/>
      <c r="L36" s="62"/>
      <c r="M36" s="62"/>
      <c r="N36" s="62"/>
    </row>
    <row r="37" spans="2:14" ht="30" customHeight="1" x14ac:dyDescent="0.2">
      <c r="B37" s="60" t="str">
        <f>'[1]Raw Material'!B50</f>
        <v>Master Batch</v>
      </c>
      <c r="C37" s="60"/>
      <c r="D37" s="60" t="str">
        <f>'[1]Raw Material'!C50</f>
        <v>Color M.B.</v>
      </c>
      <c r="E37" s="60" t="str">
        <f>'[1]Raw Material'!D50</f>
        <v>Blue M.B.</v>
      </c>
      <c r="F37" s="60">
        <f>'[1]Raw Material'!E50</f>
        <v>0</v>
      </c>
      <c r="G37" s="60"/>
      <c r="H37" s="62">
        <v>3272.7272727272725</v>
      </c>
      <c r="I37" s="62"/>
      <c r="J37" s="62"/>
      <c r="K37" s="62"/>
      <c r="L37" s="62"/>
      <c r="M37" s="62"/>
      <c r="N37" s="62"/>
    </row>
    <row r="38" spans="2:14" ht="30" customHeight="1" x14ac:dyDescent="0.2">
      <c r="B38" s="60" t="str">
        <f>'[1]Raw Material'!B51</f>
        <v>Master Batch</v>
      </c>
      <c r="C38" s="60"/>
      <c r="D38" s="60" t="str">
        <f>'[1]Raw Material'!C51</f>
        <v>Color M.B.</v>
      </c>
      <c r="E38" s="60" t="str">
        <f>'[1]Raw Material'!D51</f>
        <v>Silver M.B.</v>
      </c>
      <c r="F38" s="60">
        <f>'[1]Raw Material'!E51</f>
        <v>0</v>
      </c>
      <c r="G38" s="60"/>
      <c r="H38" s="62">
        <v>3636.3636363636365</v>
      </c>
      <c r="I38" s="62"/>
      <c r="J38" s="62"/>
      <c r="K38" s="62"/>
      <c r="L38" s="62"/>
      <c r="M38" s="62"/>
      <c r="N38" s="62"/>
    </row>
    <row r="39" spans="2:14" ht="30" customHeight="1" x14ac:dyDescent="0.2">
      <c r="B39" s="60" t="str">
        <f>'[1]Raw Material'!B52</f>
        <v>Master Batch</v>
      </c>
      <c r="C39" s="60"/>
      <c r="D39" s="60" t="str">
        <f>'[1]Raw Material'!C52</f>
        <v>Color M.B.</v>
      </c>
      <c r="E39" s="60" t="str">
        <f>'[1]Raw Material'!D52</f>
        <v>Red M.B.</v>
      </c>
      <c r="F39" s="60">
        <f>'[1]Raw Material'!E52</f>
        <v>0</v>
      </c>
      <c r="G39" s="60"/>
      <c r="H39" s="62">
        <v>3636.3636363636365</v>
      </c>
      <c r="I39" s="62"/>
      <c r="J39" s="62"/>
      <c r="K39" s="62"/>
      <c r="L39" s="62"/>
      <c r="M39" s="62"/>
      <c r="N39" s="62"/>
    </row>
    <row r="40" spans="2:14" ht="30" customHeight="1" x14ac:dyDescent="0.2">
      <c r="B40" s="60" t="str">
        <f>'[1]Raw Material'!B53</f>
        <v>Master Batch</v>
      </c>
      <c r="C40" s="60"/>
      <c r="D40" s="60" t="str">
        <f>'[1]Raw Material'!C53</f>
        <v>Color M.B.</v>
      </c>
      <c r="E40" s="60" t="str">
        <f>'[1]Raw Material'!D53</f>
        <v>Green M.B.</v>
      </c>
      <c r="F40" s="60">
        <f>'[1]Raw Material'!E53</f>
        <v>0</v>
      </c>
      <c r="G40" s="60"/>
      <c r="H40" s="62">
        <v>3181.818181818182</v>
      </c>
      <c r="I40" s="62"/>
      <c r="J40" s="62"/>
      <c r="K40" s="62"/>
      <c r="L40" s="62"/>
      <c r="M40" s="62"/>
      <c r="N40" s="62"/>
    </row>
    <row r="41" spans="2:14" ht="30" customHeight="1" x14ac:dyDescent="0.2">
      <c r="B41" s="60" t="str">
        <f>'[1]Raw Material'!B54</f>
        <v>Master Batch</v>
      </c>
      <c r="C41" s="60"/>
      <c r="D41" s="60" t="str">
        <f>'[1]Raw Material'!C54</f>
        <v>Color M.B.</v>
      </c>
      <c r="E41" s="60" t="str">
        <f>'[1]Raw Material'!D54</f>
        <v>Brown M.B.</v>
      </c>
      <c r="F41" s="60">
        <f>'[1]Raw Material'!E54</f>
        <v>0</v>
      </c>
      <c r="G41" s="60"/>
      <c r="H41" s="62">
        <v>3272.7272727272725</v>
      </c>
      <c r="I41" s="62"/>
      <c r="J41" s="62"/>
      <c r="K41" s="62"/>
      <c r="L41" s="62"/>
      <c r="M41" s="62"/>
      <c r="N41" s="62"/>
    </row>
    <row r="42" spans="2:14" ht="30" customHeight="1" x14ac:dyDescent="0.2">
      <c r="B42" s="60" t="str">
        <f>'[1]Raw Material'!B55</f>
        <v>Master Batch</v>
      </c>
      <c r="C42" s="60"/>
      <c r="D42" s="60" t="str">
        <f>'[1]Raw Material'!C55</f>
        <v>Color M.B.</v>
      </c>
      <c r="E42" s="60" t="str">
        <f>'[1]Raw Material'!D55</f>
        <v>Yellow M.B.</v>
      </c>
      <c r="F42" s="60">
        <f>'[1]Raw Material'!E55</f>
        <v>0</v>
      </c>
      <c r="G42" s="60"/>
      <c r="H42" s="62">
        <v>3818.181818181818</v>
      </c>
      <c r="I42" s="62"/>
      <c r="J42" s="62"/>
      <c r="K42" s="62"/>
      <c r="L42" s="62"/>
      <c r="M42" s="62"/>
      <c r="N42" s="62"/>
    </row>
    <row r="43" spans="2:14" ht="30" customHeight="1" x14ac:dyDescent="0.2">
      <c r="B43" s="60" t="str">
        <f>'[1]Raw Material'!B56</f>
        <v>Master Batch</v>
      </c>
      <c r="C43" s="60"/>
      <c r="D43" s="60" t="str">
        <f>'[1]Raw Material'!C56</f>
        <v>Additive M.B.</v>
      </c>
      <c r="E43" s="60" t="str">
        <f>'[1]Raw Material'!D56</f>
        <v>Processing Aid</v>
      </c>
      <c r="F43" s="60" t="str">
        <f>'[1]Raw Material'!E56</f>
        <v>PPA - 350</v>
      </c>
      <c r="G43" s="60"/>
      <c r="H43" s="62">
        <v>3852</v>
      </c>
      <c r="I43" s="62"/>
      <c r="J43" s="62"/>
      <c r="K43" s="62"/>
      <c r="L43" s="62"/>
      <c r="M43" s="62"/>
      <c r="N43" s="62"/>
    </row>
    <row r="44" spans="2:14" ht="30" customHeight="1" x14ac:dyDescent="0.2">
      <c r="B44" s="60" t="str">
        <f>'[1]Raw Material'!B57</f>
        <v>Master Batch</v>
      </c>
      <c r="C44" s="60"/>
      <c r="D44" s="60" t="str">
        <f>'[1]Raw Material'!C57</f>
        <v>Additive M.B.</v>
      </c>
      <c r="E44" s="60" t="str">
        <f>'[1]Raw Material'!D57</f>
        <v>Processing Aid</v>
      </c>
      <c r="F44" s="60" t="str">
        <f>'[1]Raw Material'!E57</f>
        <v>PPA - 550</v>
      </c>
      <c r="G44" s="60"/>
      <c r="H44" s="62">
        <v>0</v>
      </c>
      <c r="I44" s="62"/>
      <c r="J44" s="62"/>
      <c r="K44" s="62"/>
      <c r="L44" s="62"/>
      <c r="M44" s="62"/>
      <c r="N44" s="62"/>
    </row>
    <row r="45" spans="2:14" ht="30" customHeight="1" x14ac:dyDescent="0.2">
      <c r="B45" s="60" t="str">
        <f>'[1]Raw Material'!B58</f>
        <v>Master Batch</v>
      </c>
      <c r="C45" s="60"/>
      <c r="D45" s="60" t="str">
        <f>'[1]Raw Material'!C58</f>
        <v>Additive M.B.</v>
      </c>
      <c r="E45" s="60" t="str">
        <f>'[1]Raw Material'!D58</f>
        <v>Slip</v>
      </c>
      <c r="F45" s="60" t="str">
        <f>'[1]Raw Material'!E58</f>
        <v>SL -590</v>
      </c>
      <c r="G45" s="60"/>
      <c r="H45" s="62">
        <v>3852</v>
      </c>
      <c r="I45" s="62"/>
      <c r="J45" s="62"/>
      <c r="K45" s="62"/>
      <c r="L45" s="62"/>
      <c r="M45" s="62"/>
      <c r="N45" s="62"/>
    </row>
    <row r="46" spans="2:14" ht="30" customHeight="1" x14ac:dyDescent="0.2">
      <c r="B46" s="60" t="str">
        <f>'[1]Raw Material'!B59</f>
        <v>Master Batch</v>
      </c>
      <c r="C46" s="60"/>
      <c r="D46" s="60" t="str">
        <f>'[1]Raw Material'!C59</f>
        <v>Additive M.B.</v>
      </c>
      <c r="E46" s="60" t="str">
        <f>'[1]Raw Material'!D59</f>
        <v>Slip</v>
      </c>
      <c r="F46" s="60" t="str">
        <f>'[1]Raw Material'!E59</f>
        <v>SL - 591</v>
      </c>
      <c r="G46" s="60"/>
      <c r="H46" s="62">
        <v>3852</v>
      </c>
      <c r="I46" s="62"/>
      <c r="J46" s="62"/>
      <c r="K46" s="62"/>
      <c r="L46" s="62"/>
      <c r="M46" s="62"/>
      <c r="N46" s="62"/>
    </row>
    <row r="47" spans="2:14" ht="30" customHeight="1" x14ac:dyDescent="0.2">
      <c r="B47" s="60" t="str">
        <f>'[1]Raw Material'!B60</f>
        <v>Master Batch</v>
      </c>
      <c r="C47" s="60"/>
      <c r="D47" s="60" t="str">
        <f>'[1]Raw Material'!C60</f>
        <v>Additive M.B.</v>
      </c>
      <c r="E47" s="60" t="str">
        <f>'[1]Raw Material'!D60</f>
        <v>Slip</v>
      </c>
      <c r="F47" s="60" t="str">
        <f>'[1]Raw Material'!E60</f>
        <v>SL - 59091</v>
      </c>
      <c r="G47" s="60"/>
      <c r="H47" s="62">
        <v>3852</v>
      </c>
      <c r="I47" s="62"/>
      <c r="J47" s="62"/>
      <c r="K47" s="62"/>
      <c r="L47" s="62"/>
      <c r="M47" s="62"/>
      <c r="N47" s="62"/>
    </row>
    <row r="48" spans="2:14" ht="30" customHeight="1" x14ac:dyDescent="0.2">
      <c r="B48" s="60" t="str">
        <f>'[1]Raw Material'!B61</f>
        <v>Master Batch</v>
      </c>
      <c r="C48" s="60"/>
      <c r="D48" s="60" t="str">
        <f>'[1]Raw Material'!C61</f>
        <v>Additive M.B.</v>
      </c>
      <c r="E48" s="60" t="str">
        <f>'[1]Raw Material'!D61</f>
        <v>Antiblock</v>
      </c>
      <c r="F48" s="60" t="str">
        <f>'[1]Raw Material'!E61</f>
        <v>AB - 5042</v>
      </c>
      <c r="G48" s="60"/>
      <c r="H48" s="62">
        <v>3210</v>
      </c>
      <c r="I48" s="62"/>
      <c r="J48" s="62"/>
      <c r="K48" s="62"/>
      <c r="L48" s="62"/>
      <c r="M48" s="62"/>
      <c r="N48" s="62"/>
    </row>
    <row r="49" spans="2:14" ht="30" customHeight="1" x14ac:dyDescent="0.2">
      <c r="B49" s="60" t="str">
        <f>'[1]Raw Material'!B62</f>
        <v>Master Batch</v>
      </c>
      <c r="C49" s="60"/>
      <c r="D49" s="60" t="str">
        <f>'[1]Raw Material'!C62</f>
        <v>Additive M.B.</v>
      </c>
      <c r="E49" s="60" t="str">
        <f>'[1]Raw Material'!D62</f>
        <v>Antiblock</v>
      </c>
      <c r="F49" s="60" t="str">
        <f>'[1]Raw Material'!E62</f>
        <v>AB - 1044</v>
      </c>
      <c r="G49" s="60"/>
      <c r="H49" s="62">
        <v>0</v>
      </c>
      <c r="I49" s="62"/>
      <c r="J49" s="62"/>
      <c r="K49" s="62"/>
      <c r="L49" s="62"/>
      <c r="M49" s="62"/>
      <c r="N49" s="62"/>
    </row>
    <row r="50" spans="2:14" ht="30" customHeight="1" x14ac:dyDescent="0.2">
      <c r="B50" s="60" t="str">
        <f>'[1]Raw Material'!B63</f>
        <v>Master Batch</v>
      </c>
      <c r="C50" s="60"/>
      <c r="D50" s="60" t="str">
        <f>'[1]Raw Material'!C63</f>
        <v>Additive M.B.</v>
      </c>
      <c r="E50" s="60" t="str">
        <f>'[1]Raw Material'!D63</f>
        <v>Anti Static</v>
      </c>
      <c r="F50" s="60" t="str">
        <f>'[1]Raw Material'!E63</f>
        <v>AS - 203233</v>
      </c>
      <c r="G50" s="60"/>
      <c r="H50" s="62">
        <v>4494</v>
      </c>
      <c r="I50" s="62"/>
      <c r="J50" s="62"/>
      <c r="K50" s="62"/>
      <c r="L50" s="62"/>
      <c r="M50" s="62"/>
      <c r="N50" s="62"/>
    </row>
    <row r="51" spans="2:14" ht="30" customHeight="1" x14ac:dyDescent="0.2">
      <c r="B51" s="60" t="str">
        <f>'[1]Raw Material'!B64</f>
        <v>Master Batch</v>
      </c>
      <c r="C51" s="60"/>
      <c r="D51" s="60" t="str">
        <f>'[1]Raw Material'!C64</f>
        <v>Additive M.B.</v>
      </c>
      <c r="E51" s="60" t="str">
        <f>'[1]Raw Material'!D64</f>
        <v>Anti Static</v>
      </c>
      <c r="F51" s="60" t="str">
        <f>'[1]Raw Material'!E64</f>
        <v>AS - 103233</v>
      </c>
      <c r="G51" s="60"/>
      <c r="H51" s="62">
        <v>3852</v>
      </c>
      <c r="I51" s="62"/>
      <c r="J51" s="62"/>
      <c r="K51" s="62"/>
      <c r="L51" s="62"/>
      <c r="M51" s="62"/>
      <c r="N51" s="62"/>
    </row>
    <row r="52" spans="2:14" ht="30" customHeight="1" x14ac:dyDescent="0.2">
      <c r="B52" s="60" t="str">
        <f>'[1]Raw Material'!B65</f>
        <v>Master Batch</v>
      </c>
      <c r="C52" s="60"/>
      <c r="D52" s="60" t="str">
        <f>'[1]Raw Material'!C65</f>
        <v>Additive M.B.</v>
      </c>
      <c r="E52" s="60" t="str">
        <f>'[1]Raw Material'!D65</f>
        <v>Anti Static</v>
      </c>
      <c r="F52" s="60" t="str">
        <f>'[1]Raw Material'!E65</f>
        <v>AS - 1031</v>
      </c>
      <c r="G52" s="60"/>
      <c r="H52" s="62">
        <v>3852</v>
      </c>
      <c r="I52" s="62"/>
      <c r="J52" s="62"/>
      <c r="K52" s="62"/>
      <c r="L52" s="62"/>
      <c r="M52" s="62"/>
      <c r="N52" s="62"/>
    </row>
    <row r="53" spans="2:14" ht="30" customHeight="1" x14ac:dyDescent="0.2">
      <c r="B53" s="60" t="str">
        <f>'[1]Raw Material'!B66</f>
        <v>Master Batch</v>
      </c>
      <c r="C53" s="60"/>
      <c r="D53" s="60" t="str">
        <f>'[1]Raw Material'!C66</f>
        <v>Additive M.B.</v>
      </c>
      <c r="E53" s="60" t="str">
        <f>'[1]Raw Material'!D66</f>
        <v>Anti Static</v>
      </c>
      <c r="F53" s="60" t="str">
        <f>'[1]Raw Material'!E66</f>
        <v>AS - 1034</v>
      </c>
      <c r="G53" s="60"/>
      <c r="H53" s="62">
        <v>0</v>
      </c>
      <c r="I53" s="62"/>
      <c r="J53" s="62"/>
      <c r="K53" s="62"/>
      <c r="L53" s="62"/>
      <c r="M53" s="62"/>
      <c r="N53" s="62"/>
    </row>
    <row r="54" spans="2:14" ht="30" customHeight="1" x14ac:dyDescent="0.2">
      <c r="B54" s="60" t="str">
        <f>'[1]Raw Material'!B67</f>
        <v>Master Batch</v>
      </c>
      <c r="C54" s="60"/>
      <c r="D54" s="60" t="str">
        <f>'[1]Raw Material'!C67</f>
        <v>Additive M.B.</v>
      </c>
      <c r="E54" s="60" t="str">
        <f>'[1]Raw Material'!D67</f>
        <v>IR Reflector</v>
      </c>
      <c r="F54" s="60" t="str">
        <f>'[1]Raw Material'!E67</f>
        <v>IR - 5040</v>
      </c>
      <c r="G54" s="60"/>
      <c r="H54" s="62">
        <v>2568</v>
      </c>
      <c r="I54" s="62"/>
      <c r="J54" s="62"/>
      <c r="K54" s="62"/>
      <c r="L54" s="62"/>
      <c r="M54" s="62"/>
      <c r="N54" s="62"/>
    </row>
    <row r="55" spans="2:14" ht="30" customHeight="1" x14ac:dyDescent="0.2">
      <c r="B55" s="60" t="str">
        <f>'[1]Raw Material'!B68</f>
        <v>Master Batch</v>
      </c>
      <c r="C55" s="60"/>
      <c r="D55" s="60" t="str">
        <f>'[1]Raw Material'!C68</f>
        <v>Additive M.B.</v>
      </c>
      <c r="E55" s="60" t="str">
        <f>'[1]Raw Material'!D68</f>
        <v>AntiFog</v>
      </c>
      <c r="F55" s="60" t="str">
        <f>'[1]Raw Material'!E68</f>
        <v>AF - 203233</v>
      </c>
      <c r="G55" s="60"/>
      <c r="H55" s="62">
        <v>5136</v>
      </c>
      <c r="I55" s="62"/>
      <c r="J55" s="62"/>
      <c r="K55" s="62"/>
      <c r="L55" s="62"/>
      <c r="M55" s="62"/>
      <c r="N55" s="62"/>
    </row>
    <row r="56" spans="2:14" ht="30" customHeight="1" x14ac:dyDescent="0.2">
      <c r="B56" s="60" t="str">
        <f>'[1]Raw Material'!B69</f>
        <v>Master Batch</v>
      </c>
      <c r="C56" s="60"/>
      <c r="D56" s="60" t="str">
        <f>'[1]Raw Material'!C69</f>
        <v>Additive M.B.</v>
      </c>
      <c r="E56" s="60" t="str">
        <f>'[1]Raw Material'!D69</f>
        <v>AntiFog</v>
      </c>
      <c r="F56" s="60" t="str">
        <f>'[1]Raw Material'!E69</f>
        <v>AF - 103233</v>
      </c>
      <c r="G56" s="60"/>
      <c r="H56" s="62">
        <v>3980.4</v>
      </c>
      <c r="I56" s="62"/>
      <c r="J56" s="62"/>
      <c r="K56" s="62"/>
      <c r="L56" s="62"/>
      <c r="M56" s="62"/>
      <c r="N56" s="62"/>
    </row>
    <row r="57" spans="2:14" ht="30" customHeight="1" x14ac:dyDescent="0.2">
      <c r="B57" s="60" t="str">
        <f>'[1]Raw Material'!B70</f>
        <v>Master Batch</v>
      </c>
      <c r="C57" s="60"/>
      <c r="D57" s="60" t="str">
        <f>'[1]Raw Material'!C70</f>
        <v>Additive M.B.</v>
      </c>
      <c r="E57" s="60" t="str">
        <f>'[1]Raw Material'!D70</f>
        <v>AntiFog</v>
      </c>
      <c r="F57" s="60" t="str">
        <f>'[1]Raw Material'!E70</f>
        <v>AF - 1035</v>
      </c>
      <c r="G57" s="60"/>
      <c r="H57" s="62">
        <v>0</v>
      </c>
      <c r="I57" s="62"/>
      <c r="J57" s="62"/>
      <c r="K57" s="62"/>
      <c r="L57" s="62"/>
      <c r="M57" s="62"/>
      <c r="N57" s="62"/>
    </row>
    <row r="58" spans="2:14" ht="30" customHeight="1" x14ac:dyDescent="0.2">
      <c r="B58" s="60" t="str">
        <f>'[1]Raw Material'!B71</f>
        <v>Master Batch</v>
      </c>
      <c r="C58" s="60"/>
      <c r="D58" s="60" t="str">
        <f>'[1]Raw Material'!C71</f>
        <v>Additive M.B.</v>
      </c>
      <c r="E58" s="60" t="str">
        <f>'[1]Raw Material'!D71</f>
        <v>AntiOxidant</v>
      </c>
      <c r="F58" s="60" t="str">
        <f>'[1]Raw Material'!E71</f>
        <v>AOX - 2020</v>
      </c>
      <c r="G58" s="60"/>
      <c r="H58" s="62">
        <v>3402.6</v>
      </c>
      <c r="I58" s="62"/>
      <c r="J58" s="62"/>
      <c r="K58" s="62"/>
      <c r="L58" s="62"/>
      <c r="M58" s="62"/>
      <c r="N58" s="62"/>
    </row>
    <row r="59" spans="2:14" ht="30" customHeight="1" x14ac:dyDescent="0.2">
      <c r="B59" s="60" t="str">
        <f>'[1]Raw Material'!B72</f>
        <v>Master Batch</v>
      </c>
      <c r="C59" s="60"/>
      <c r="D59" s="60" t="str">
        <f>'[1]Raw Material'!C72</f>
        <v>Additive M.B.</v>
      </c>
      <c r="E59" s="60" t="str">
        <f>'[1]Raw Material'!D72</f>
        <v>AntiOxidant</v>
      </c>
      <c r="F59" s="60" t="str">
        <f>'[1]Raw Material'!E72</f>
        <v>AOX - 2021</v>
      </c>
      <c r="G59" s="60"/>
      <c r="H59" s="62">
        <v>3402.6</v>
      </c>
      <c r="I59" s="62"/>
      <c r="J59" s="62"/>
      <c r="K59" s="62"/>
      <c r="L59" s="62"/>
      <c r="M59" s="62"/>
      <c r="N59" s="62"/>
    </row>
    <row r="60" spans="2:14" ht="30" customHeight="1" x14ac:dyDescent="0.2">
      <c r="B60" s="60" t="str">
        <f>'[1]Raw Material'!B73</f>
        <v>Master Batch</v>
      </c>
      <c r="C60" s="60"/>
      <c r="D60" s="60" t="str">
        <f>'[1]Raw Material'!C73</f>
        <v>Additive M.B.</v>
      </c>
      <c r="E60" s="60" t="str">
        <f>'[1]Raw Material'!D73</f>
        <v>UV Stablizer</v>
      </c>
      <c r="F60" s="60" t="str">
        <f>'[1]Raw Material'!E73</f>
        <v>UV - 1501020 LL</v>
      </c>
      <c r="G60" s="60"/>
      <c r="H60" s="62">
        <v>8346</v>
      </c>
      <c r="I60" s="62"/>
      <c r="J60" s="62"/>
      <c r="K60" s="62"/>
      <c r="L60" s="62"/>
      <c r="M60" s="62"/>
      <c r="N60" s="62"/>
    </row>
    <row r="61" spans="2:14" ht="30" customHeight="1" x14ac:dyDescent="0.2">
      <c r="B61" s="60" t="str">
        <f>'[1]Raw Material'!B74</f>
        <v>Master Batch</v>
      </c>
      <c r="C61" s="60"/>
      <c r="D61" s="60" t="str">
        <f>'[1]Raw Material'!C74</f>
        <v>Additive M.B.</v>
      </c>
      <c r="E61" s="60" t="str">
        <f>'[1]Raw Material'!D74</f>
        <v>UV Stablizer</v>
      </c>
      <c r="F61" s="60" t="str">
        <f>'[1]Raw Material'!E74</f>
        <v>UV - 1501020 LD</v>
      </c>
      <c r="G61" s="60"/>
      <c r="H61" s="62">
        <v>8346</v>
      </c>
      <c r="I61" s="62"/>
      <c r="J61" s="62"/>
      <c r="K61" s="62"/>
      <c r="L61" s="62"/>
      <c r="M61" s="62"/>
      <c r="N61" s="62"/>
    </row>
    <row r="62" spans="2:14" ht="30" customHeight="1" x14ac:dyDescent="0.2">
      <c r="B62" s="60" t="str">
        <f>'[1]Raw Material'!B75</f>
        <v>Master Batch</v>
      </c>
      <c r="C62" s="60"/>
      <c r="D62" s="60" t="str">
        <f>'[1]Raw Material'!C75</f>
        <v>Additive M.B.</v>
      </c>
      <c r="E62" s="60" t="str">
        <f>'[1]Raw Material'!D75</f>
        <v>UV Stablizer</v>
      </c>
      <c r="F62" s="60" t="str">
        <f>'[1]Raw Material'!E75</f>
        <v>UV - 17220 LL</v>
      </c>
      <c r="G62" s="60"/>
      <c r="H62" s="62">
        <v>8346</v>
      </c>
      <c r="I62" s="62"/>
      <c r="J62" s="62"/>
      <c r="K62" s="62"/>
      <c r="L62" s="62"/>
      <c r="M62" s="62"/>
      <c r="N62" s="62"/>
    </row>
    <row r="63" spans="2:14" ht="30" customHeight="1" x14ac:dyDescent="0.2">
      <c r="B63" s="60" t="str">
        <f>'[1]Raw Material'!B76</f>
        <v>Master Batch</v>
      </c>
      <c r="C63" s="60"/>
      <c r="D63" s="60" t="str">
        <f>'[1]Raw Material'!C76</f>
        <v>Additive M.B.</v>
      </c>
      <c r="E63" s="60" t="str">
        <f>'[1]Raw Material'!D76</f>
        <v>UV Stablizer</v>
      </c>
      <c r="F63" s="60" t="str">
        <f>'[1]Raw Material'!E76</f>
        <v>UV - 17220 LD</v>
      </c>
      <c r="G63" s="60"/>
      <c r="H63" s="62">
        <v>8346</v>
      </c>
      <c r="I63" s="62"/>
      <c r="J63" s="62"/>
      <c r="K63" s="62"/>
      <c r="L63" s="62"/>
      <c r="M63" s="62"/>
      <c r="N63" s="62"/>
    </row>
    <row r="64" spans="2:14" ht="30" customHeight="1" x14ac:dyDescent="0.2">
      <c r="B64" s="60" t="str">
        <f>'[1]Raw Material'!B77</f>
        <v>Master Batch</v>
      </c>
      <c r="C64" s="60"/>
      <c r="D64" s="60" t="str">
        <f>'[1]Raw Material'!C77</f>
        <v>Additive M.B.</v>
      </c>
      <c r="E64" s="60" t="str">
        <f>'[1]Raw Material'!D77</f>
        <v>UV Stablizer</v>
      </c>
      <c r="F64" s="60" t="str">
        <f>'[1]Raw Material'!E77</f>
        <v>UV - 16420 LL</v>
      </c>
      <c r="G64" s="60"/>
      <c r="H64" s="62">
        <v>4108.8</v>
      </c>
      <c r="I64" s="62"/>
      <c r="J64" s="62"/>
      <c r="K64" s="62"/>
      <c r="L64" s="62"/>
      <c r="M64" s="62"/>
      <c r="N64" s="62"/>
    </row>
    <row r="65" spans="2:14" ht="30" customHeight="1" x14ac:dyDescent="0.2">
      <c r="B65" s="60" t="str">
        <f>'[1]Raw Material'!B78</f>
        <v>Master Batch</v>
      </c>
      <c r="C65" s="60"/>
      <c r="D65" s="60" t="str">
        <f>'[1]Raw Material'!C78</f>
        <v>Additive M.B.</v>
      </c>
      <c r="E65" s="60" t="str">
        <f>'[1]Raw Material'!D78</f>
        <v>UV Stablizer</v>
      </c>
      <c r="F65" s="60" t="str">
        <f>'[1]Raw Material'!E78</f>
        <v>UV - 16320 LL</v>
      </c>
      <c r="G65" s="60"/>
      <c r="H65" s="62">
        <v>8089.2</v>
      </c>
      <c r="I65" s="62"/>
      <c r="J65" s="62"/>
      <c r="K65" s="62"/>
      <c r="L65" s="62"/>
      <c r="M65" s="62"/>
      <c r="N65" s="62"/>
    </row>
    <row r="66" spans="2:14" ht="30" customHeight="1" x14ac:dyDescent="0.2">
      <c r="B66" s="60" t="str">
        <f>'[1]Raw Material'!B79</f>
        <v>Master Batch</v>
      </c>
      <c r="C66" s="60"/>
      <c r="D66" s="60" t="str">
        <f>'[1]Raw Material'!C79</f>
        <v>Additive M.B.</v>
      </c>
      <c r="E66" s="60" t="str">
        <f>'[1]Raw Material'!D79</f>
        <v>Desicant</v>
      </c>
      <c r="F66" s="60" t="str">
        <f>'[1]Raw Material'!E79</f>
        <v>Desicant</v>
      </c>
      <c r="G66" s="60"/>
      <c r="H66" s="62">
        <v>2978.88</v>
      </c>
      <c r="I66" s="62"/>
      <c r="J66" s="62"/>
      <c r="K66" s="62"/>
      <c r="L66" s="62"/>
      <c r="M66" s="62"/>
      <c r="N66" s="62"/>
    </row>
    <row r="67" spans="2:14" ht="30" customHeight="1" x14ac:dyDescent="0.2">
      <c r="B67" s="60" t="str">
        <f>'[1]Raw Material'!B80</f>
        <v>Master Batch</v>
      </c>
      <c r="C67" s="60"/>
      <c r="D67" s="60" t="str">
        <f>'[1]Raw Material'!C80</f>
        <v>Additive M.B.</v>
      </c>
      <c r="E67" s="60" t="str">
        <f>'[1]Raw Material'!D80</f>
        <v>Light Diffuser</v>
      </c>
      <c r="F67" s="60" t="str">
        <f>'[1]Raw Material'!E80</f>
        <v>Light Diffuser</v>
      </c>
      <c r="G67" s="60"/>
      <c r="H67" s="62">
        <v>2181.818181818182</v>
      </c>
      <c r="I67" s="62"/>
      <c r="J67" s="62"/>
      <c r="K67" s="62"/>
      <c r="L67" s="62"/>
      <c r="M67" s="62"/>
      <c r="N67" s="62"/>
    </row>
    <row r="68" spans="2:14" ht="30" customHeight="1" x14ac:dyDescent="0.2">
      <c r="B68" s="60" t="str">
        <f>'[1]Raw Material'!B81</f>
        <v>Master Batch</v>
      </c>
      <c r="C68" s="60"/>
      <c r="D68" s="60" t="str">
        <f>'[1]Raw Material'!C81</f>
        <v>Additive M.B.</v>
      </c>
      <c r="E68" s="60" t="str">
        <f>'[1]Raw Material'!D81</f>
        <v>Anti Virus</v>
      </c>
      <c r="F68" s="60" t="str">
        <f>'[1]Raw Material'!E81</f>
        <v>Anti Virus</v>
      </c>
      <c r="G68" s="60"/>
      <c r="H68" s="62">
        <v>43442</v>
      </c>
      <c r="I68" s="62"/>
      <c r="J68" s="62"/>
      <c r="K68" s="62"/>
      <c r="L68" s="62"/>
      <c r="M68" s="62"/>
      <c r="N68" s="62"/>
    </row>
    <row r="69" spans="2:14" ht="30" customHeight="1" x14ac:dyDescent="0.2">
      <c r="B69" s="60" t="str">
        <f>'[1]Raw Material'!B82</f>
        <v>Master Batch</v>
      </c>
      <c r="C69" s="60"/>
      <c r="D69" s="60" t="str">
        <f>'[1]Raw Material'!C82</f>
        <v>Additive M.B.</v>
      </c>
      <c r="E69" s="60" t="str">
        <f>'[1]Raw Material'!D82</f>
        <v>M1 40 EVA</v>
      </c>
      <c r="F69" s="60" t="str">
        <f>'[1]Raw Material'!E82</f>
        <v>M1 40 EVA</v>
      </c>
      <c r="G69" s="60"/>
      <c r="H69" s="62">
        <v>62059.999999999993</v>
      </c>
      <c r="I69" s="62"/>
      <c r="J69" s="62"/>
      <c r="K69" s="62"/>
      <c r="L69" s="62"/>
      <c r="M69" s="62"/>
      <c r="N69" s="62"/>
    </row>
    <row r="70" spans="2:14" ht="30" customHeight="1" x14ac:dyDescent="0.2">
      <c r="B70" s="60" t="str">
        <f>'[1]Raw Material'!B83</f>
        <v>Master Batch</v>
      </c>
      <c r="C70" s="60"/>
      <c r="D70" s="60" t="str">
        <f>'[1]Raw Material'!C83</f>
        <v>Additive M.B.</v>
      </c>
      <c r="E70" s="60" t="str">
        <f>'[1]Raw Material'!D83</f>
        <v>Biodegredable</v>
      </c>
      <c r="F70" s="60" t="str">
        <f>'[1]Raw Material'!E83</f>
        <v>Bio EIS-100056</v>
      </c>
      <c r="G70" s="60"/>
      <c r="H70" s="62">
        <v>13636.363636363636</v>
      </c>
      <c r="I70" s="62"/>
      <c r="J70" s="62"/>
      <c r="K70" s="62"/>
      <c r="L70" s="62"/>
      <c r="M70" s="62"/>
      <c r="N70" s="62"/>
    </row>
    <row r="71" spans="2:14" ht="30" customHeight="1" x14ac:dyDescent="0.2">
      <c r="B71" s="60" t="str">
        <f>'[1]Raw Material'!B84</f>
        <v>Master Batch</v>
      </c>
      <c r="C71" s="60"/>
      <c r="D71" s="60" t="str">
        <f>'[1]Raw Material'!C84</f>
        <v>Additive M.B.</v>
      </c>
      <c r="E71" s="60" t="str">
        <f>'[1]Raw Material'!D84</f>
        <v>Black Conductive</v>
      </c>
      <c r="F71" s="60">
        <f>'[1]Raw Material'!E84</f>
        <v>0</v>
      </c>
      <c r="G71" s="60"/>
      <c r="H71" s="62">
        <v>6206</v>
      </c>
      <c r="I71" s="62"/>
      <c r="J71" s="62"/>
      <c r="K71" s="62"/>
      <c r="L71" s="62"/>
      <c r="M71" s="62"/>
      <c r="N71" s="62"/>
    </row>
    <row r="72" spans="2:14" ht="30" customHeight="1" x14ac:dyDescent="0.2">
      <c r="B72" s="60" t="str">
        <f>'[1]Raw Material'!B85</f>
        <v>Master Batch</v>
      </c>
      <c r="C72" s="60"/>
      <c r="D72" s="60" t="str">
        <f>'[1]Raw Material'!C85</f>
        <v>Additive M.B.</v>
      </c>
      <c r="E72" s="60" t="str">
        <f>'[1]Raw Material'!D85</f>
        <v>IR Absorber</v>
      </c>
      <c r="F72" s="60" t="str">
        <f>'[1]Raw Material'!E85</f>
        <v>Second Sky</v>
      </c>
      <c r="G72" s="60"/>
      <c r="H72" s="62">
        <v>32100</v>
      </c>
      <c r="I72" s="62"/>
      <c r="J72" s="62"/>
      <c r="K72" s="62"/>
      <c r="L72" s="62"/>
      <c r="M72" s="62"/>
      <c r="N72" s="62"/>
    </row>
    <row r="73" spans="2:14" ht="30" customHeight="1" x14ac:dyDescent="0.2">
      <c r="B73" s="66" t="str">
        <f>'[1]Raw Material'!B101</f>
        <v>Kind</v>
      </c>
      <c r="C73" s="66"/>
      <c r="D73" s="66" t="str">
        <f>'[1]Raw Material'!C101</f>
        <v>Type</v>
      </c>
      <c r="E73" s="66" t="str">
        <f>'[1]Raw Material'!D101</f>
        <v>Raw Material Grade</v>
      </c>
      <c r="F73" s="66">
        <f>'[1]Raw Material'!E101</f>
        <v>0</v>
      </c>
      <c r="G73" s="66"/>
      <c r="H73" s="67" t="s">
        <v>68</v>
      </c>
      <c r="I73" s="67"/>
      <c r="J73" s="67"/>
      <c r="K73" s="67"/>
      <c r="L73" s="67"/>
      <c r="M73" s="67"/>
      <c r="N73" s="67"/>
    </row>
    <row r="74" spans="2:14" ht="30" customHeight="1" x14ac:dyDescent="0.2">
      <c r="B74" s="60" t="str">
        <f>'[1]Raw Material'!B102</f>
        <v>Printing Material</v>
      </c>
      <c r="C74" s="60"/>
      <c r="D74" s="60" t="str">
        <f>'[1]Raw Material'!C102</f>
        <v>Ink</v>
      </c>
      <c r="E74" s="60" t="str">
        <f>'[1]Raw Material'!D102</f>
        <v>Black Flexo</v>
      </c>
      <c r="F74" s="60">
        <f>'[1]Raw Material'!E102</f>
        <v>0</v>
      </c>
      <c r="G74" s="60"/>
      <c r="H74" s="62">
        <v>3272.7272727272725</v>
      </c>
      <c r="I74" s="62"/>
      <c r="J74" s="62"/>
      <c r="K74" s="62"/>
      <c r="L74" s="62"/>
      <c r="M74" s="62"/>
      <c r="N74" s="62"/>
    </row>
    <row r="75" spans="2:14" ht="30" customHeight="1" x14ac:dyDescent="0.2">
      <c r="B75" s="60" t="str">
        <f>'[1]Raw Material'!B103</f>
        <v>Printing Material</v>
      </c>
      <c r="C75" s="60"/>
      <c r="D75" s="60" t="str">
        <f>'[1]Raw Material'!C103</f>
        <v>Ink</v>
      </c>
      <c r="E75" s="60" t="str">
        <f>'[1]Raw Material'!D103</f>
        <v>White Flexo</v>
      </c>
      <c r="F75" s="60">
        <f>'[1]Raw Material'!E103</f>
        <v>0</v>
      </c>
      <c r="G75" s="60"/>
      <c r="H75" s="62">
        <v>2945.4545454545455</v>
      </c>
      <c r="I75" s="62"/>
      <c r="J75" s="62"/>
      <c r="K75" s="62"/>
      <c r="L75" s="62"/>
      <c r="M75" s="62"/>
      <c r="N75" s="62"/>
    </row>
    <row r="76" spans="2:14" ht="30" customHeight="1" x14ac:dyDescent="0.2">
      <c r="B76" s="60" t="str">
        <f>'[1]Raw Material'!B104</f>
        <v>Printing Material</v>
      </c>
      <c r="C76" s="60"/>
      <c r="D76" s="60" t="str">
        <f>'[1]Raw Material'!C104</f>
        <v>Ink</v>
      </c>
      <c r="E76" s="60" t="str">
        <f>'[1]Raw Material'!D104</f>
        <v>Gold Flexo</v>
      </c>
      <c r="F76" s="60">
        <f>'[1]Raw Material'!E104</f>
        <v>0</v>
      </c>
      <c r="G76" s="60"/>
      <c r="H76" s="62">
        <v>10909.09090909091</v>
      </c>
      <c r="I76" s="62"/>
      <c r="J76" s="62"/>
      <c r="K76" s="62"/>
      <c r="L76" s="62"/>
      <c r="M76" s="62"/>
      <c r="N76" s="62"/>
    </row>
    <row r="77" spans="2:14" ht="30" customHeight="1" x14ac:dyDescent="0.2">
      <c r="B77" s="60" t="str">
        <f>'[1]Raw Material'!B105</f>
        <v>Printing Material</v>
      </c>
      <c r="C77" s="60"/>
      <c r="D77" s="60" t="str">
        <f>'[1]Raw Material'!C105</f>
        <v>Ink</v>
      </c>
      <c r="E77" s="60" t="str">
        <f>'[1]Raw Material'!D105</f>
        <v>Cyan Flexo</v>
      </c>
      <c r="F77" s="60">
        <f>'[1]Raw Material'!E105</f>
        <v>0</v>
      </c>
      <c r="G77" s="60"/>
      <c r="H77" s="62">
        <v>3381.818181818182</v>
      </c>
      <c r="I77" s="62"/>
      <c r="J77" s="62"/>
      <c r="K77" s="62"/>
      <c r="L77" s="62"/>
      <c r="M77" s="62"/>
      <c r="N77" s="62"/>
    </row>
    <row r="78" spans="2:14" ht="30" customHeight="1" x14ac:dyDescent="0.2">
      <c r="B78" s="60" t="str">
        <f>'[1]Raw Material'!B106</f>
        <v>Printing Material</v>
      </c>
      <c r="C78" s="60"/>
      <c r="D78" s="60" t="str">
        <f>'[1]Raw Material'!C106</f>
        <v>Ink</v>
      </c>
      <c r="E78" s="60" t="str">
        <f>'[1]Raw Material'!D106</f>
        <v>Magenta Flexo</v>
      </c>
      <c r="F78" s="60">
        <f>'[1]Raw Material'!E106</f>
        <v>0</v>
      </c>
      <c r="G78" s="60"/>
      <c r="H78" s="62">
        <v>3381.818181818182</v>
      </c>
      <c r="I78" s="62"/>
      <c r="J78" s="62"/>
      <c r="K78" s="62"/>
      <c r="L78" s="62"/>
      <c r="M78" s="62"/>
      <c r="N78" s="62"/>
    </row>
    <row r="79" spans="2:14" ht="30" customHeight="1" x14ac:dyDescent="0.2">
      <c r="B79" s="60" t="str">
        <f>'[1]Raw Material'!B107</f>
        <v>Printing Material</v>
      </c>
      <c r="C79" s="60"/>
      <c r="D79" s="60" t="str">
        <f>'[1]Raw Material'!C107</f>
        <v>Ink</v>
      </c>
      <c r="E79" s="60" t="str">
        <f>'[1]Raw Material'!D107</f>
        <v>Warm Red Flexo</v>
      </c>
      <c r="F79" s="60">
        <f>'[1]Raw Material'!E107</f>
        <v>0</v>
      </c>
      <c r="G79" s="60"/>
      <c r="H79" s="62">
        <v>3272.7272727272725</v>
      </c>
      <c r="I79" s="62"/>
      <c r="J79" s="62"/>
      <c r="K79" s="62"/>
      <c r="L79" s="62"/>
      <c r="M79" s="62"/>
      <c r="N79" s="62"/>
    </row>
    <row r="80" spans="2:14" ht="30" customHeight="1" x14ac:dyDescent="0.2">
      <c r="B80" s="60" t="str">
        <f>'[1]Raw Material'!B108</f>
        <v>Printing Material</v>
      </c>
      <c r="C80" s="60"/>
      <c r="D80" s="60" t="str">
        <f>'[1]Raw Material'!C108</f>
        <v>Ink</v>
      </c>
      <c r="E80" s="60" t="str">
        <f>'[1]Raw Material'!D108</f>
        <v>Reflex Blue Flexo</v>
      </c>
      <c r="F80" s="60">
        <f>'[1]Raw Material'!E108</f>
        <v>0</v>
      </c>
      <c r="G80" s="60"/>
      <c r="H80" s="62">
        <v>4756.363636363636</v>
      </c>
      <c r="I80" s="62"/>
      <c r="J80" s="62"/>
      <c r="K80" s="62"/>
      <c r="L80" s="62"/>
      <c r="M80" s="62"/>
      <c r="N80" s="62"/>
    </row>
    <row r="81" spans="2:14" ht="30" customHeight="1" x14ac:dyDescent="0.2">
      <c r="B81" s="60" t="str">
        <f>'[1]Raw Material'!B109</f>
        <v>Printing Material</v>
      </c>
      <c r="C81" s="60"/>
      <c r="D81" s="60" t="str">
        <f>'[1]Raw Material'!C109</f>
        <v>Ink</v>
      </c>
      <c r="E81" s="60" t="str">
        <f>'[1]Raw Material'!D109</f>
        <v>Green Flexo</v>
      </c>
      <c r="F81" s="60">
        <f>'[1]Raw Material'!E109</f>
        <v>0</v>
      </c>
      <c r="G81" s="60"/>
      <c r="H81" s="62">
        <v>3752.7272727272725</v>
      </c>
      <c r="I81" s="62"/>
      <c r="J81" s="62"/>
      <c r="K81" s="62"/>
      <c r="L81" s="62"/>
      <c r="M81" s="62"/>
      <c r="N81" s="62"/>
    </row>
    <row r="82" spans="2:14" ht="30" customHeight="1" x14ac:dyDescent="0.2">
      <c r="B82" s="60" t="str">
        <f>'[1]Raw Material'!B110</f>
        <v>Printing Material</v>
      </c>
      <c r="C82" s="60"/>
      <c r="D82" s="60" t="str">
        <f>'[1]Raw Material'!C110</f>
        <v>Ink</v>
      </c>
      <c r="E82" s="60" t="str">
        <f>'[1]Raw Material'!D110</f>
        <v>Polish Flexo</v>
      </c>
      <c r="F82" s="60">
        <f>'[1]Raw Material'!E110</f>
        <v>0</v>
      </c>
      <c r="G82" s="60"/>
      <c r="H82" s="62">
        <v>3054.5454545454545</v>
      </c>
      <c r="I82" s="62"/>
      <c r="J82" s="62"/>
      <c r="K82" s="62"/>
      <c r="L82" s="62"/>
      <c r="M82" s="62"/>
      <c r="N82" s="62"/>
    </row>
    <row r="83" spans="2:14" ht="30" customHeight="1" x14ac:dyDescent="0.2">
      <c r="B83" s="60" t="str">
        <f>'[1]Raw Material'!B111</f>
        <v>Printing Material</v>
      </c>
      <c r="C83" s="60"/>
      <c r="D83" s="60" t="str">
        <f>'[1]Raw Material'!C111</f>
        <v>Ink</v>
      </c>
      <c r="E83" s="60" t="str">
        <f>'[1]Raw Material'!D111</f>
        <v>Black Stack</v>
      </c>
      <c r="F83" s="60">
        <f>'[1]Raw Material'!E111</f>
        <v>0</v>
      </c>
      <c r="G83" s="60"/>
      <c r="H83" s="62">
        <v>3272.7272727272725</v>
      </c>
      <c r="I83" s="62"/>
      <c r="J83" s="62"/>
      <c r="K83" s="62"/>
      <c r="L83" s="62"/>
      <c r="M83" s="62"/>
      <c r="N83" s="62"/>
    </row>
    <row r="84" spans="2:14" ht="30" customHeight="1" x14ac:dyDescent="0.2">
      <c r="B84" s="60" t="str">
        <f>'[1]Raw Material'!B112</f>
        <v>Printing Material</v>
      </c>
      <c r="C84" s="60"/>
      <c r="D84" s="60" t="str">
        <f>'[1]Raw Material'!C112</f>
        <v>Ink</v>
      </c>
      <c r="E84" s="60" t="str">
        <f>'[1]Raw Material'!D112</f>
        <v>White Stack</v>
      </c>
      <c r="F84" s="60">
        <f>'[1]Raw Material'!E112</f>
        <v>0</v>
      </c>
      <c r="G84" s="60"/>
      <c r="H84" s="62">
        <v>2945.4545454545455</v>
      </c>
      <c r="I84" s="62"/>
      <c r="J84" s="62"/>
      <c r="K84" s="62"/>
      <c r="L84" s="62"/>
      <c r="M84" s="62"/>
      <c r="N84" s="62"/>
    </row>
    <row r="85" spans="2:14" ht="30" customHeight="1" x14ac:dyDescent="0.2">
      <c r="B85" s="60" t="str">
        <f>'[1]Raw Material'!B113</f>
        <v>Printing Material</v>
      </c>
      <c r="C85" s="60"/>
      <c r="D85" s="60" t="str">
        <f>'[1]Raw Material'!C113</f>
        <v>Ink</v>
      </c>
      <c r="E85" s="60" t="str">
        <f>'[1]Raw Material'!D113</f>
        <v>Gold Stack</v>
      </c>
      <c r="F85" s="60">
        <f>'[1]Raw Material'!E113</f>
        <v>0</v>
      </c>
      <c r="G85" s="60"/>
      <c r="H85" s="62">
        <v>10909.09090909091</v>
      </c>
      <c r="I85" s="62"/>
      <c r="J85" s="62"/>
      <c r="K85" s="62"/>
      <c r="L85" s="62"/>
      <c r="M85" s="62"/>
      <c r="N85" s="62"/>
    </row>
    <row r="86" spans="2:14" ht="30" customHeight="1" x14ac:dyDescent="0.2">
      <c r="B86" s="60" t="str">
        <f>'[1]Raw Material'!B114</f>
        <v>Printing Material</v>
      </c>
      <c r="C86" s="60"/>
      <c r="D86" s="60" t="str">
        <f>'[1]Raw Material'!C114</f>
        <v>Ink</v>
      </c>
      <c r="E86" s="60" t="str">
        <f>'[1]Raw Material'!D114</f>
        <v>Blue Stack</v>
      </c>
      <c r="F86" s="60">
        <f>'[1]Raw Material'!E114</f>
        <v>0</v>
      </c>
      <c r="G86" s="60"/>
      <c r="H86" s="62">
        <v>3381.818181818182</v>
      </c>
      <c r="I86" s="62"/>
      <c r="J86" s="62"/>
      <c r="K86" s="62"/>
      <c r="L86" s="62"/>
      <c r="M86" s="62"/>
      <c r="N86" s="62"/>
    </row>
    <row r="87" spans="2:14" ht="30" customHeight="1" x14ac:dyDescent="0.2">
      <c r="B87" s="60" t="str">
        <f>'[1]Raw Material'!B115</f>
        <v>Printing Material</v>
      </c>
      <c r="C87" s="60"/>
      <c r="D87" s="60" t="str">
        <f>'[1]Raw Material'!C115</f>
        <v>Ink</v>
      </c>
      <c r="E87" s="60" t="str">
        <f>'[1]Raw Material'!D115</f>
        <v>Red Stack</v>
      </c>
      <c r="F87" s="60">
        <f>'[1]Raw Material'!E115</f>
        <v>0</v>
      </c>
      <c r="G87" s="60"/>
      <c r="H87" s="62">
        <v>3381.818181818182</v>
      </c>
      <c r="I87" s="62"/>
      <c r="J87" s="62"/>
      <c r="K87" s="62"/>
      <c r="L87" s="62"/>
      <c r="M87" s="62"/>
      <c r="N87" s="62"/>
    </row>
    <row r="88" spans="2:14" ht="30" customHeight="1" x14ac:dyDescent="0.2">
      <c r="B88" s="60" t="str">
        <f>'[1]Raw Material'!B116</f>
        <v>Printing Material</v>
      </c>
      <c r="C88" s="60"/>
      <c r="D88" s="60" t="str">
        <f>'[1]Raw Material'!C116</f>
        <v>Solvent</v>
      </c>
      <c r="E88" s="60" t="str">
        <f>'[1]Raw Material'!D116</f>
        <v>IPA Solvent</v>
      </c>
      <c r="F88" s="60">
        <f>'[1]Raw Material'!E116</f>
        <v>0</v>
      </c>
      <c r="G88" s="60"/>
      <c r="H88" s="62">
        <v>1221.8181818181818</v>
      </c>
      <c r="I88" s="62"/>
      <c r="J88" s="62"/>
      <c r="K88" s="62"/>
      <c r="L88" s="62"/>
      <c r="M88" s="62"/>
      <c r="N88" s="62"/>
    </row>
    <row r="89" spans="2:14" ht="30" customHeight="1" x14ac:dyDescent="0.2">
      <c r="B89" s="60" t="str">
        <f>'[1]Raw Material'!B117</f>
        <v>Printing Material</v>
      </c>
      <c r="C89" s="60"/>
      <c r="D89" s="60" t="str">
        <f>'[1]Raw Material'!C117</f>
        <v>Solvent</v>
      </c>
      <c r="E89" s="60" t="str">
        <f>'[1]Raw Material'!D117</f>
        <v>Ethyl Glycol Solvent</v>
      </c>
      <c r="F89" s="60">
        <f>'[1]Raw Material'!E117</f>
        <v>0</v>
      </c>
      <c r="G89" s="60"/>
      <c r="H89" s="62">
        <v>1985.4545454545455</v>
      </c>
      <c r="I89" s="62"/>
      <c r="J89" s="62"/>
      <c r="K89" s="62"/>
      <c r="L89" s="62"/>
      <c r="M89" s="62"/>
      <c r="N89" s="62"/>
    </row>
    <row r="90" spans="2:14" ht="30" customHeight="1" x14ac:dyDescent="0.2">
      <c r="B90" s="60" t="str">
        <f>'[1]Raw Material'!B118</f>
        <v>Printing Material</v>
      </c>
      <c r="C90" s="60"/>
      <c r="D90" s="60" t="str">
        <f>'[1]Raw Material'!C118</f>
        <v>Solvent</v>
      </c>
      <c r="E90" s="60" t="str">
        <f>'[1]Raw Material'!D118</f>
        <v>Solvent 604</v>
      </c>
      <c r="F90" s="60">
        <f>'[1]Raw Material'!E118</f>
        <v>0</v>
      </c>
      <c r="G90" s="60"/>
      <c r="H90" s="62">
        <v>1003.6363636363636</v>
      </c>
      <c r="I90" s="62"/>
      <c r="J90" s="62"/>
      <c r="K90" s="62"/>
      <c r="L90" s="62"/>
      <c r="M90" s="62"/>
      <c r="N90" s="62"/>
    </row>
    <row r="91" spans="2:14" ht="30" customHeight="1" x14ac:dyDescent="0.2">
      <c r="B91" s="60" t="str">
        <f>'[1]Raw Material'!B119</f>
        <v>Printing Material</v>
      </c>
      <c r="C91" s="60"/>
      <c r="D91" s="60" t="str">
        <f>'[1]Raw Material'!C119</f>
        <v>Solvent</v>
      </c>
      <c r="E91" s="60" t="str">
        <f>'[1]Raw Material'!D119</f>
        <v>Acetate Solvent</v>
      </c>
      <c r="F91" s="60">
        <f>'[1]Raw Material'!E119</f>
        <v>0</v>
      </c>
      <c r="G91" s="60"/>
      <c r="H91" s="62">
        <v>1221.8181818181818</v>
      </c>
      <c r="I91" s="62"/>
      <c r="J91" s="62"/>
      <c r="K91" s="62"/>
      <c r="L91" s="62"/>
      <c r="M91" s="62"/>
      <c r="N91" s="62"/>
    </row>
    <row r="92" spans="2:14" ht="30" customHeight="1" x14ac:dyDescent="0.2">
      <c r="B92" s="60" t="str">
        <f>'[1]Raw Material'!B120</f>
        <v>Printing Material</v>
      </c>
      <c r="C92" s="60"/>
      <c r="D92" s="60" t="str">
        <f>'[1]Raw Material'!C120</f>
        <v>Printing Additives</v>
      </c>
      <c r="E92" s="60" t="str">
        <f>'[1]Raw Material'!D120</f>
        <v>Anti Scratch</v>
      </c>
      <c r="F92" s="60">
        <f>'[1]Raw Material'!E120</f>
        <v>0</v>
      </c>
      <c r="G92" s="60"/>
      <c r="H92" s="62">
        <v>1221.8181818181818</v>
      </c>
      <c r="I92" s="62"/>
      <c r="J92" s="62"/>
      <c r="K92" s="62"/>
      <c r="L92" s="62"/>
      <c r="M92" s="62"/>
      <c r="N92" s="62"/>
    </row>
    <row r="93" spans="2:14" ht="30" customHeight="1" x14ac:dyDescent="0.2">
      <c r="B93" s="66" t="str">
        <f>'[1]Raw Material'!B129</f>
        <v>Kind</v>
      </c>
      <c r="C93" s="66"/>
      <c r="D93" s="66" t="str">
        <f>'[1]Raw Material'!C129</f>
        <v>Type</v>
      </c>
      <c r="E93" s="66" t="str">
        <f>'[1]Raw Material'!D129</f>
        <v>Raw Material Grade</v>
      </c>
      <c r="F93" s="66">
        <f>'[1]Raw Material'!E129</f>
        <v>0</v>
      </c>
      <c r="G93" s="66"/>
      <c r="H93" s="67" t="s">
        <v>68</v>
      </c>
      <c r="I93" s="67"/>
      <c r="J93" s="67"/>
      <c r="K93" s="67"/>
      <c r="L93" s="67"/>
      <c r="M93" s="67"/>
      <c r="N93" s="67"/>
    </row>
    <row r="94" spans="2:14" ht="30" customHeight="1" x14ac:dyDescent="0.2">
      <c r="B94" s="60" t="str">
        <f>'[1]Raw Material'!B130</f>
        <v>Core Material</v>
      </c>
      <c r="C94" s="60"/>
      <c r="D94" s="60" t="str">
        <f>'[1]Raw Material'!C130</f>
        <v>Paper</v>
      </c>
      <c r="E94" s="60" t="str">
        <f>'[1]Raw Material'!D130</f>
        <v>Test Paper 150 gm</v>
      </c>
      <c r="F94" s="60">
        <f>'[1]Raw Material'!E130</f>
        <v>0</v>
      </c>
      <c r="G94" s="60"/>
      <c r="H94" s="62">
        <v>418.18181818181819</v>
      </c>
      <c r="I94" s="62"/>
      <c r="J94" s="62"/>
      <c r="K94" s="62"/>
      <c r="L94" s="62"/>
      <c r="M94" s="62"/>
      <c r="N94" s="62"/>
    </row>
    <row r="95" spans="2:14" ht="30" customHeight="1" x14ac:dyDescent="0.2">
      <c r="B95" s="60" t="str">
        <f>'[1]Raw Material'!B131</f>
        <v>Core Material</v>
      </c>
      <c r="C95" s="60"/>
      <c r="D95" s="60" t="str">
        <f>'[1]Raw Material'!C131</f>
        <v>Paper</v>
      </c>
      <c r="E95" s="60" t="str">
        <f>'[1]Raw Material'!D131</f>
        <v>Manila</v>
      </c>
      <c r="F95" s="60">
        <f>'[1]Raw Material'!E131</f>
        <v>0</v>
      </c>
      <c r="G95" s="60"/>
      <c r="H95" s="62">
        <v>385.77272727272725</v>
      </c>
      <c r="I95" s="62"/>
      <c r="J95" s="62"/>
      <c r="K95" s="62"/>
      <c r="L95" s="62"/>
      <c r="M95" s="62"/>
      <c r="N95" s="62"/>
    </row>
    <row r="96" spans="2:14" ht="30" customHeight="1" x14ac:dyDescent="0.2">
      <c r="B96" s="60" t="str">
        <f>'[1]Raw Material'!B132</f>
        <v>Core Material</v>
      </c>
      <c r="C96" s="60"/>
      <c r="D96" s="60" t="str">
        <f>'[1]Raw Material'!C132</f>
        <v>Paper</v>
      </c>
      <c r="E96" s="60" t="str">
        <f>'[1]Raw Material'!D132</f>
        <v>Core Board 400 Joul</v>
      </c>
      <c r="F96" s="60">
        <f>'[1]Raw Material'!E132</f>
        <v>0</v>
      </c>
      <c r="G96" s="60"/>
      <c r="H96" s="62">
        <v>535.27272727272725</v>
      </c>
      <c r="I96" s="62"/>
      <c r="J96" s="62"/>
      <c r="K96" s="62"/>
      <c r="L96" s="62"/>
      <c r="M96" s="62"/>
      <c r="N96" s="62"/>
    </row>
    <row r="97" spans="2:14" ht="30" customHeight="1" x14ac:dyDescent="0.2">
      <c r="B97" s="60" t="str">
        <f>'[1]Raw Material'!B133</f>
        <v>Core Material</v>
      </c>
      <c r="C97" s="60"/>
      <c r="D97" s="60" t="str">
        <f>'[1]Raw Material'!C133</f>
        <v>Paper</v>
      </c>
      <c r="E97" s="60" t="str">
        <f>'[1]Raw Material'!D133</f>
        <v>Core Board 200 Joul</v>
      </c>
      <c r="F97" s="60">
        <f>'[1]Raw Material'!E133</f>
        <v>0</v>
      </c>
      <c r="G97" s="60"/>
      <c r="H97" s="62">
        <v>401.45454545454544</v>
      </c>
      <c r="I97" s="62"/>
      <c r="J97" s="62"/>
      <c r="K97" s="62"/>
      <c r="L97" s="62"/>
      <c r="M97" s="62"/>
      <c r="N97" s="62"/>
    </row>
    <row r="98" spans="2:14" ht="30" customHeight="1" x14ac:dyDescent="0.2">
      <c r="B98" s="60" t="str">
        <f>'[1]Raw Material'!B134</f>
        <v>Core Material</v>
      </c>
      <c r="C98" s="60"/>
      <c r="D98" s="60" t="str">
        <f>'[1]Raw Material'!C134</f>
        <v>Paper Adhesive</v>
      </c>
      <c r="E98" s="60" t="str">
        <f>'[1]Raw Material'!D134</f>
        <v>White Adhesive</v>
      </c>
      <c r="F98" s="60">
        <f>'[1]Raw Material'!E134</f>
        <v>0</v>
      </c>
      <c r="G98" s="60"/>
      <c r="H98" s="62">
        <v>1087.2727272727273</v>
      </c>
      <c r="I98" s="62"/>
      <c r="J98" s="62"/>
      <c r="K98" s="62"/>
      <c r="L98" s="62"/>
      <c r="M98" s="62"/>
      <c r="N98" s="62"/>
    </row>
    <row r="99" spans="2:14" ht="30" customHeight="1" x14ac:dyDescent="0.2">
      <c r="B99" s="60" t="str">
        <f>'[1]Raw Material'!B135</f>
        <v>Core Material</v>
      </c>
      <c r="C99" s="60"/>
      <c r="D99" s="60" t="str">
        <f>'[1]Raw Material'!C135</f>
        <v>Paper Adhesive</v>
      </c>
      <c r="E99" s="60" t="str">
        <f>'[1]Raw Material'!D135</f>
        <v>Vegetable Adhesive</v>
      </c>
      <c r="F99" s="60">
        <f>'[1]Raw Material'!E135</f>
        <v>0</v>
      </c>
      <c r="G99" s="60"/>
      <c r="H99" s="62">
        <v>345</v>
      </c>
      <c r="I99" s="62"/>
      <c r="J99" s="62"/>
      <c r="K99" s="62"/>
      <c r="L99" s="62"/>
      <c r="M99" s="62"/>
      <c r="N99" s="62"/>
    </row>
    <row r="100" spans="2:14" ht="30" customHeight="1" x14ac:dyDescent="0.2">
      <c r="B100" s="66" t="str">
        <f>'[1]Raw Material'!B140</f>
        <v>Kind</v>
      </c>
      <c r="C100" s="66"/>
      <c r="D100" s="66" t="str">
        <f>'[1]Raw Material'!C140</f>
        <v>Type</v>
      </c>
      <c r="E100" s="66" t="str">
        <f>'[1]Raw Material'!D140</f>
        <v>Raw Material Grade</v>
      </c>
      <c r="F100" s="66">
        <f>'[1]Raw Material'!E140</f>
        <v>0</v>
      </c>
      <c r="G100" s="66"/>
      <c r="H100" s="67" t="s">
        <v>68</v>
      </c>
      <c r="I100" s="67"/>
      <c r="J100" s="67"/>
      <c r="K100" s="67"/>
      <c r="L100" s="67"/>
      <c r="M100" s="67"/>
      <c r="N100" s="67"/>
    </row>
    <row r="101" spans="2:14" ht="30" customHeight="1" x14ac:dyDescent="0.2">
      <c r="B101" s="60" t="str">
        <f>'[1]Raw Material'!B141</f>
        <v xml:space="preserve">Packaging </v>
      </c>
      <c r="C101" s="60"/>
      <c r="D101" s="60" t="str">
        <f>'[1]Raw Material'!C141</f>
        <v>Pallets</v>
      </c>
      <c r="E101" s="60" t="str">
        <f>'[1]Raw Material'!D141</f>
        <v>Pallet 1300*1100</v>
      </c>
      <c r="F101" s="60">
        <f>'[1]Raw Material'!E141</f>
        <v>0</v>
      </c>
      <c r="G101" s="60"/>
      <c r="H101" s="62">
        <v>0</v>
      </c>
      <c r="I101" s="62"/>
      <c r="J101" s="62"/>
      <c r="K101" s="62"/>
      <c r="L101" s="62"/>
      <c r="M101" s="62"/>
      <c r="N101" s="62"/>
    </row>
    <row r="102" spans="2:14" ht="30" customHeight="1" x14ac:dyDescent="0.2">
      <c r="B102" s="60" t="str">
        <f>'[1]Raw Material'!B142</f>
        <v xml:space="preserve">Packaging </v>
      </c>
      <c r="C102" s="60"/>
      <c r="D102" s="60" t="str">
        <f>'[1]Raw Material'!C142</f>
        <v>Pallets</v>
      </c>
      <c r="E102" s="60" t="str">
        <f>'[1]Raw Material'!D142</f>
        <v>Pallet 1200*1100</v>
      </c>
      <c r="F102" s="60">
        <f>'[1]Raw Material'!E142</f>
        <v>0</v>
      </c>
      <c r="G102" s="60"/>
      <c r="H102" s="62">
        <v>0</v>
      </c>
      <c r="I102" s="62"/>
      <c r="J102" s="62"/>
      <c r="K102" s="62"/>
      <c r="L102" s="62"/>
      <c r="M102" s="62"/>
      <c r="N102" s="62"/>
    </row>
    <row r="103" spans="2:14" ht="30" customHeight="1" x14ac:dyDescent="0.2">
      <c r="B103" s="60" t="str">
        <f>'[1]Raw Material'!B143</f>
        <v xml:space="preserve">Packaging </v>
      </c>
      <c r="C103" s="60"/>
      <c r="D103" s="60" t="str">
        <f>'[1]Raw Material'!C143</f>
        <v>Pallets</v>
      </c>
      <c r="E103" s="60" t="str">
        <f>'[1]Raw Material'!D143</f>
        <v>Pallet 1200*800</v>
      </c>
      <c r="F103" s="60">
        <f>'[1]Raw Material'!E143</f>
        <v>0</v>
      </c>
      <c r="G103" s="60"/>
      <c r="H103" s="62">
        <v>0</v>
      </c>
      <c r="I103" s="62"/>
      <c r="J103" s="62"/>
      <c r="K103" s="62"/>
      <c r="L103" s="62"/>
      <c r="M103" s="62"/>
      <c r="N103" s="62"/>
    </row>
    <row r="104" spans="2:14" ht="30" customHeight="1" x14ac:dyDescent="0.2">
      <c r="B104" s="60" t="str">
        <f>'[1]Raw Material'!B144</f>
        <v xml:space="preserve">Packaging </v>
      </c>
      <c r="C104" s="60"/>
      <c r="D104" s="60" t="str">
        <f>'[1]Raw Material'!C144</f>
        <v>Wood Box</v>
      </c>
      <c r="E104" s="60" t="str">
        <f>'[1]Raw Material'!D144</f>
        <v>Box1</v>
      </c>
      <c r="F104" s="60">
        <f>'[1]Raw Material'!E144</f>
        <v>0</v>
      </c>
      <c r="G104" s="60"/>
      <c r="H104" s="62">
        <v>0</v>
      </c>
      <c r="I104" s="62"/>
      <c r="J104" s="62"/>
      <c r="K104" s="62"/>
      <c r="L104" s="62"/>
      <c r="M104" s="62"/>
      <c r="N104" s="62"/>
    </row>
    <row r="105" spans="2:14" ht="30" customHeight="1" x14ac:dyDescent="0.2">
      <c r="B105" s="60" t="str">
        <f>'[1]Raw Material'!B145</f>
        <v xml:space="preserve">Packaging </v>
      </c>
      <c r="C105" s="60"/>
      <c r="D105" s="60" t="str">
        <f>'[1]Raw Material'!C145</f>
        <v>Wood Box</v>
      </c>
      <c r="E105" s="60" t="str">
        <f>'[1]Raw Material'!D145</f>
        <v>Box1</v>
      </c>
      <c r="F105" s="60">
        <f>'[1]Raw Material'!E145</f>
        <v>0</v>
      </c>
      <c r="G105" s="60"/>
      <c r="H105" s="62">
        <v>0</v>
      </c>
      <c r="I105" s="62"/>
      <c r="J105" s="62"/>
      <c r="K105" s="62"/>
      <c r="L105" s="62"/>
      <c r="M105" s="62"/>
      <c r="N105" s="62"/>
    </row>
    <row r="106" spans="2:14" ht="30" customHeight="1" x14ac:dyDescent="0.2">
      <c r="B106" s="60" t="str">
        <f>'[1]Raw Material'!B146</f>
        <v xml:space="preserve">Packaging </v>
      </c>
      <c r="C106" s="60"/>
      <c r="D106" s="60" t="str">
        <f>'[1]Raw Material'!C146</f>
        <v>Wood Box</v>
      </c>
      <c r="E106" s="60" t="str">
        <f>'[1]Raw Material'!D146</f>
        <v>Box1</v>
      </c>
      <c r="F106" s="60">
        <f>'[1]Raw Material'!E146</f>
        <v>0</v>
      </c>
      <c r="G106" s="60"/>
      <c r="H106" s="62">
        <v>0</v>
      </c>
      <c r="I106" s="62"/>
      <c r="J106" s="62"/>
      <c r="K106" s="62"/>
      <c r="L106" s="62"/>
      <c r="M106" s="62"/>
      <c r="N106" s="62"/>
    </row>
    <row r="107" spans="2:14" ht="30" customHeight="1" x14ac:dyDescent="0.2">
      <c r="B107" s="60" t="str">
        <f>'[1]Raw Material'!B147</f>
        <v xml:space="preserve">Packaging </v>
      </c>
      <c r="C107" s="60"/>
      <c r="D107" s="60" t="str">
        <f>'[1]Raw Material'!C147</f>
        <v>Wood Box</v>
      </c>
      <c r="E107" s="60" t="str">
        <f>'[1]Raw Material'!D147</f>
        <v>Box1</v>
      </c>
      <c r="F107" s="60">
        <f>'[1]Raw Material'!E147</f>
        <v>0</v>
      </c>
      <c r="G107" s="60"/>
      <c r="H107" s="62">
        <v>0</v>
      </c>
      <c r="I107" s="62"/>
      <c r="J107" s="62"/>
      <c r="K107" s="62"/>
      <c r="L107" s="62"/>
      <c r="M107" s="62"/>
      <c r="N107" s="62"/>
    </row>
    <row r="108" spans="2:14" ht="30" customHeight="1" x14ac:dyDescent="0.2">
      <c r="B108" s="60" t="str">
        <f>'[1]Raw Material'!B148</f>
        <v xml:space="preserve">Packaging </v>
      </c>
      <c r="C108" s="60"/>
      <c r="D108" s="60" t="str">
        <f>'[1]Raw Material'!C148</f>
        <v>Wood Box</v>
      </c>
      <c r="E108" s="60" t="str">
        <f>'[1]Raw Material'!D148</f>
        <v>Box1</v>
      </c>
      <c r="F108" s="60">
        <f>'[1]Raw Material'!E148</f>
        <v>0</v>
      </c>
      <c r="G108" s="60"/>
      <c r="H108" s="62">
        <v>0</v>
      </c>
      <c r="I108" s="62"/>
      <c r="J108" s="62"/>
      <c r="K108" s="62"/>
      <c r="L108" s="62"/>
      <c r="M108" s="62"/>
      <c r="N108" s="62"/>
    </row>
    <row r="109" spans="2:14" ht="30" customHeight="1" x14ac:dyDescent="0.2">
      <c r="B109" s="60" t="str">
        <f>'[1]Raw Material'!B149</f>
        <v xml:space="preserve">Packaging </v>
      </c>
      <c r="C109" s="60"/>
      <c r="D109" s="60" t="str">
        <f>'[1]Raw Material'!C149</f>
        <v>Plastic Packaging</v>
      </c>
      <c r="E109" s="60" t="str">
        <f>'[1]Raw Material'!D149</f>
        <v>Stretch Wrap</v>
      </c>
      <c r="F109" s="60">
        <f>'[1]Raw Material'!E149</f>
        <v>0</v>
      </c>
      <c r="G109" s="60"/>
      <c r="H109" s="62">
        <v>0</v>
      </c>
      <c r="I109" s="62"/>
      <c r="J109" s="62"/>
      <c r="K109" s="62"/>
      <c r="L109" s="62"/>
      <c r="M109" s="62"/>
      <c r="N109" s="62"/>
    </row>
    <row r="110" spans="2:14" ht="30" customHeight="1" x14ac:dyDescent="0.2">
      <c r="B110" s="60" t="str">
        <f>'[1]Raw Material'!B150</f>
        <v xml:space="preserve">Packaging </v>
      </c>
      <c r="C110" s="60"/>
      <c r="D110" s="60" t="str">
        <f>'[1]Raw Material'!C150</f>
        <v>Plastic Packaging</v>
      </c>
      <c r="E110" s="60" t="str">
        <f>'[1]Raw Material'!D150</f>
        <v>Plastic Bag</v>
      </c>
      <c r="F110" s="60" t="str">
        <f>'[1]Raw Material'!E150</f>
        <v>60*120*80</v>
      </c>
      <c r="G110" s="60"/>
      <c r="H110" s="62">
        <v>2727.2727272727275</v>
      </c>
      <c r="I110" s="62"/>
      <c r="J110" s="62"/>
      <c r="K110" s="62"/>
      <c r="L110" s="62"/>
      <c r="M110" s="62"/>
      <c r="N110" s="62"/>
    </row>
    <row r="111" spans="2:14" ht="30" customHeight="1" x14ac:dyDescent="0.2">
      <c r="B111" s="60" t="str">
        <f>'[1]Raw Material'!B151</f>
        <v xml:space="preserve">Packaging </v>
      </c>
      <c r="C111" s="60"/>
      <c r="D111" s="60" t="str">
        <f>'[1]Raw Material'!C151</f>
        <v>Plastic Packaging</v>
      </c>
      <c r="E111" s="60">
        <f>'[1]Raw Material'!D151</f>
        <v>0</v>
      </c>
      <c r="F111" s="60">
        <f>'[1]Raw Material'!E151</f>
        <v>0</v>
      </c>
      <c r="G111" s="60"/>
      <c r="H111" s="62">
        <v>0</v>
      </c>
      <c r="I111" s="62"/>
      <c r="J111" s="62"/>
      <c r="K111" s="62"/>
      <c r="L111" s="62"/>
      <c r="M111" s="62"/>
      <c r="N111" s="62"/>
    </row>
    <row r="112" spans="2:14" ht="30" customHeight="1" x14ac:dyDescent="0.2">
      <c r="B112" s="60" t="str">
        <f>'[1]Raw Material'!B152</f>
        <v xml:space="preserve">Packaging </v>
      </c>
      <c r="C112" s="60"/>
      <c r="D112" s="60" t="str">
        <f>'[1]Raw Material'!C152</f>
        <v>Plastic Packaging</v>
      </c>
      <c r="E112" s="60">
        <f>'[1]Raw Material'!D152</f>
        <v>0</v>
      </c>
      <c r="F112" s="60">
        <f>'[1]Raw Material'!E152</f>
        <v>0</v>
      </c>
      <c r="G112" s="60"/>
      <c r="H112" s="62">
        <v>0</v>
      </c>
      <c r="I112" s="62"/>
      <c r="J112" s="62"/>
      <c r="K112" s="62"/>
      <c r="L112" s="62"/>
      <c r="M112" s="62"/>
      <c r="N112" s="62"/>
    </row>
    <row r="113" spans="1:14" ht="30" customHeight="1" x14ac:dyDescent="0.2">
      <c r="B113" s="60" t="str">
        <f>'[1]Raw Material'!B153</f>
        <v xml:space="preserve">Packaging </v>
      </c>
      <c r="C113" s="60"/>
      <c r="D113" s="60" t="str">
        <f>'[1]Raw Material'!C153</f>
        <v>Plastic Packaging</v>
      </c>
      <c r="E113" s="60">
        <f>'[1]Raw Material'!D153</f>
        <v>0</v>
      </c>
      <c r="F113" s="60">
        <f>'[1]Raw Material'!E153</f>
        <v>0</v>
      </c>
      <c r="G113" s="60"/>
      <c r="H113" s="62">
        <v>0</v>
      </c>
      <c r="I113" s="62"/>
      <c r="J113" s="62"/>
      <c r="K113" s="62"/>
      <c r="L113" s="62"/>
      <c r="M113" s="62"/>
      <c r="N113" s="62"/>
    </row>
    <row r="114" spans="1:14" ht="30" customHeight="1" x14ac:dyDescent="0.2">
      <c r="A114" s="57"/>
    </row>
    <row r="115" spans="1:14" ht="30" customHeight="1" x14ac:dyDescent="0.2">
      <c r="A115" s="57"/>
    </row>
    <row r="116" spans="1:14" ht="30" customHeight="1" x14ac:dyDescent="0.2">
      <c r="A116" s="57"/>
    </row>
    <row r="117" spans="1:14" ht="30" customHeight="1" x14ac:dyDescent="0.2">
      <c r="A117" s="57"/>
    </row>
    <row r="118" spans="1:14" ht="30" customHeight="1" x14ac:dyDescent="0.2">
      <c r="A118" s="57"/>
    </row>
    <row r="119" spans="1:14" ht="30" customHeight="1" x14ac:dyDescent="0.2">
      <c r="A119" s="57"/>
    </row>
    <row r="120" spans="1:14" ht="30" customHeight="1" x14ac:dyDescent="0.2">
      <c r="A120" s="57"/>
    </row>
    <row r="121" spans="1:14" ht="30" customHeight="1" x14ac:dyDescent="0.2">
      <c r="A121" s="57"/>
    </row>
    <row r="122" spans="1:14" ht="30" customHeight="1" x14ac:dyDescent="0.2">
      <c r="A122" s="57"/>
    </row>
    <row r="123" spans="1:14" ht="30" customHeight="1" x14ac:dyDescent="0.2">
      <c r="A123" s="57"/>
    </row>
    <row r="124" spans="1:14" ht="30" customHeight="1" x14ac:dyDescent="0.2">
      <c r="A124" s="57"/>
    </row>
    <row r="125" spans="1:14" ht="30" customHeight="1" x14ac:dyDescent="0.2">
      <c r="A125" s="57"/>
    </row>
    <row r="126" spans="1:14" ht="30" customHeight="1" x14ac:dyDescent="0.2">
      <c r="A126" s="57"/>
    </row>
    <row r="127" spans="1:14" ht="30" customHeight="1" x14ac:dyDescent="0.2">
      <c r="A127" s="57"/>
    </row>
    <row r="128" spans="1:14" ht="30" customHeight="1" x14ac:dyDescent="0.2">
      <c r="A128" s="57"/>
    </row>
    <row r="129" spans="1:1" ht="30" customHeight="1" x14ac:dyDescent="0.2">
      <c r="A129" s="57"/>
    </row>
    <row r="130" spans="1:1" ht="30" customHeight="1" x14ac:dyDescent="0.2">
      <c r="A130" s="57"/>
    </row>
    <row r="131" spans="1:1" ht="30" customHeight="1" x14ac:dyDescent="0.2">
      <c r="A131" s="57"/>
    </row>
    <row r="132" spans="1:1" ht="30" customHeight="1" x14ac:dyDescent="0.2">
      <c r="A132" s="57"/>
    </row>
    <row r="133" spans="1:1" ht="30" customHeight="1" x14ac:dyDescent="0.2">
      <c r="A133" s="57"/>
    </row>
    <row r="134" spans="1:1" ht="30" customHeight="1" x14ac:dyDescent="0.2">
      <c r="A134" s="57"/>
    </row>
    <row r="135" spans="1:1" ht="30" customHeight="1" x14ac:dyDescent="0.2">
      <c r="A135" s="57"/>
    </row>
    <row r="136" spans="1:1" ht="30" customHeight="1" x14ac:dyDescent="0.2">
      <c r="A136" s="57"/>
    </row>
    <row r="137" spans="1:1" ht="30" customHeight="1" x14ac:dyDescent="0.2">
      <c r="A137" s="57"/>
    </row>
    <row r="138" spans="1:1" ht="30" customHeight="1" x14ac:dyDescent="0.2">
      <c r="A138" s="57"/>
    </row>
    <row r="139" spans="1:1" ht="30" customHeight="1" x14ac:dyDescent="0.2">
      <c r="A139" s="57"/>
    </row>
  </sheetData>
  <mergeCells count="15">
    <mergeCell ref="M7:M8"/>
    <mergeCell ref="N7:N8"/>
    <mergeCell ref="G7:G8"/>
    <mergeCell ref="F7:F8"/>
    <mergeCell ref="B2:F2"/>
    <mergeCell ref="H2:J2"/>
    <mergeCell ref="H7:H8"/>
    <mergeCell ref="J7:J8"/>
    <mergeCell ref="L7:L8"/>
    <mergeCell ref="I7:I8"/>
    <mergeCell ref="K7:K8"/>
    <mergeCell ref="E7:E8"/>
    <mergeCell ref="B7:B8"/>
    <mergeCell ref="C7:C8"/>
    <mergeCell ref="D7:D8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521B-5EBB-AC4D-B7A0-2F0D00C06FC3}">
  <dimension ref="A1:J123"/>
  <sheetViews>
    <sheetView topLeftCell="A10" zoomScale="75" zoomScaleNormal="75" workbookViewId="0">
      <selection activeCell="P14" sqref="P14"/>
    </sheetView>
  </sheetViews>
  <sheetFormatPr baseColWidth="10" defaultRowHeight="16" x14ac:dyDescent="0.2"/>
  <cols>
    <col min="1" max="1" width="4.6640625" customWidth="1"/>
    <col min="2" max="2" width="19.83203125" customWidth="1"/>
    <col min="3" max="8" width="18" customWidth="1"/>
    <col min="9" max="9" width="19.33203125" customWidth="1"/>
    <col min="10" max="10" width="18" customWidth="1"/>
    <col min="11" max="11" width="4.83203125" customWidth="1"/>
  </cols>
  <sheetData>
    <row r="1" spans="2:10" ht="17" thickBot="1" x14ac:dyDescent="0.25"/>
    <row r="2" spans="2:10" ht="48" thickBot="1" x14ac:dyDescent="0.25">
      <c r="B2" s="77" t="s">
        <v>13</v>
      </c>
      <c r="C2" s="78"/>
      <c r="D2" s="78"/>
      <c r="E2" s="78"/>
      <c r="F2" s="78"/>
      <c r="G2" s="78"/>
      <c r="H2" s="78"/>
      <c r="I2" s="78"/>
      <c r="J2" s="79"/>
    </row>
    <row r="3" spans="2:10" ht="19" x14ac:dyDescent="0.25">
      <c r="B3" s="2"/>
      <c r="C3" s="2"/>
      <c r="D3" s="2"/>
      <c r="E3" s="2"/>
      <c r="F3" s="2"/>
      <c r="G3" s="2"/>
      <c r="H3" s="2"/>
      <c r="I3" s="2"/>
      <c r="J3" s="2"/>
    </row>
    <row r="4" spans="2:10" ht="20" thickBot="1" x14ac:dyDescent="0.3">
      <c r="B4" s="2"/>
      <c r="C4" s="2"/>
      <c r="D4" s="2"/>
      <c r="E4" s="2"/>
      <c r="F4" s="2"/>
      <c r="G4" s="2"/>
      <c r="H4" s="2"/>
      <c r="I4" s="2"/>
      <c r="J4" s="2"/>
    </row>
    <row r="5" spans="2:10" ht="20" thickBot="1" x14ac:dyDescent="0.25">
      <c r="B5" s="72" t="s">
        <v>14</v>
      </c>
      <c r="C5" s="73"/>
      <c r="D5" s="74"/>
      <c r="E5" s="75"/>
      <c r="F5" s="75"/>
      <c r="G5" s="75"/>
      <c r="H5" s="75"/>
      <c r="I5" s="75"/>
      <c r="J5" s="76"/>
    </row>
    <row r="6" spans="2:10" ht="20" thickBot="1" x14ac:dyDescent="0.25">
      <c r="B6" s="72" t="s">
        <v>15</v>
      </c>
      <c r="C6" s="73"/>
      <c r="D6" s="74"/>
      <c r="E6" s="75"/>
      <c r="F6" s="75"/>
      <c r="G6" s="75"/>
      <c r="H6" s="75"/>
      <c r="I6" s="75"/>
      <c r="J6" s="76"/>
    </row>
    <row r="7" spans="2:10" ht="20" thickBot="1" x14ac:dyDescent="0.25">
      <c r="B7" s="72" t="s">
        <v>16</v>
      </c>
      <c r="C7" s="73"/>
      <c r="D7" s="74"/>
      <c r="E7" s="75"/>
      <c r="F7" s="75"/>
      <c r="G7" s="75"/>
      <c r="H7" s="75"/>
      <c r="I7" s="75"/>
      <c r="J7" s="76"/>
    </row>
    <row r="8" spans="2:10" ht="19" x14ac:dyDescent="0.2">
      <c r="B8" s="7" t="s">
        <v>17</v>
      </c>
      <c r="C8" s="8" t="s">
        <v>0</v>
      </c>
      <c r="D8" s="8" t="s">
        <v>18</v>
      </c>
      <c r="E8" s="8" t="s">
        <v>1</v>
      </c>
      <c r="F8" s="80" t="s">
        <v>19</v>
      </c>
      <c r="G8" s="8" t="s">
        <v>20</v>
      </c>
      <c r="H8" s="80" t="s">
        <v>21</v>
      </c>
      <c r="I8" s="80" t="s">
        <v>22</v>
      </c>
      <c r="J8" s="9" t="s">
        <v>1</v>
      </c>
    </row>
    <row r="9" spans="2:10" ht="19" x14ac:dyDescent="0.2">
      <c r="B9" s="10" t="s">
        <v>23</v>
      </c>
      <c r="C9" s="11" t="s">
        <v>24</v>
      </c>
      <c r="D9" s="11" t="s">
        <v>25</v>
      </c>
      <c r="E9" s="11" t="s">
        <v>26</v>
      </c>
      <c r="F9" s="81"/>
      <c r="G9" s="11" t="s">
        <v>24</v>
      </c>
      <c r="H9" s="81"/>
      <c r="I9" s="81"/>
      <c r="J9" s="12" t="s">
        <v>24</v>
      </c>
    </row>
    <row r="10" spans="2:10" ht="20" thickBot="1" x14ac:dyDescent="0.25">
      <c r="B10" s="13" t="s">
        <v>27</v>
      </c>
      <c r="C10" s="14"/>
      <c r="D10" s="14"/>
      <c r="E10" s="14"/>
      <c r="F10" s="14"/>
      <c r="G10" s="14"/>
      <c r="H10" s="14"/>
      <c r="I10" s="14"/>
      <c r="J10" s="15"/>
    </row>
    <row r="11" spans="2:10" ht="20" thickBot="1" x14ac:dyDescent="0.3">
      <c r="B11" s="82"/>
      <c r="C11" s="82"/>
      <c r="D11" s="2"/>
      <c r="E11" s="2"/>
      <c r="F11" s="2"/>
      <c r="G11" s="2"/>
      <c r="H11" s="2"/>
      <c r="I11" s="2"/>
      <c r="J11" s="2"/>
    </row>
    <row r="12" spans="2:10" ht="20" thickBot="1" x14ac:dyDescent="0.25">
      <c r="B12" s="83" t="s">
        <v>28</v>
      </c>
      <c r="C12" s="86" t="s">
        <v>29</v>
      </c>
      <c r="D12" s="16" t="s">
        <v>30</v>
      </c>
      <c r="E12" s="17">
        <v>1</v>
      </c>
      <c r="F12" s="18">
        <v>2</v>
      </c>
      <c r="G12" s="18">
        <v>3</v>
      </c>
      <c r="H12" s="18">
        <v>4</v>
      </c>
      <c r="I12" s="19">
        <v>5</v>
      </c>
      <c r="J12" s="88" t="s">
        <v>5</v>
      </c>
    </row>
    <row r="13" spans="2:10" ht="20" thickBot="1" x14ac:dyDescent="0.25">
      <c r="B13" s="84"/>
      <c r="C13" s="87"/>
      <c r="D13" s="16" t="s">
        <v>31</v>
      </c>
      <c r="E13" s="17" t="s">
        <v>32</v>
      </c>
      <c r="F13" s="18" t="s">
        <v>33</v>
      </c>
      <c r="G13" s="18" t="s">
        <v>34</v>
      </c>
      <c r="H13" s="18" t="s">
        <v>35</v>
      </c>
      <c r="I13" s="19" t="s">
        <v>36</v>
      </c>
      <c r="J13" s="89"/>
    </row>
    <row r="14" spans="2:10" ht="20" thickBot="1" x14ac:dyDescent="0.25">
      <c r="B14" s="84"/>
      <c r="C14" s="87"/>
      <c r="D14" s="16" t="s">
        <v>37</v>
      </c>
      <c r="E14" s="20"/>
      <c r="F14" s="21"/>
      <c r="G14" s="21"/>
      <c r="H14" s="21"/>
      <c r="I14" s="22"/>
      <c r="J14" s="23">
        <f>SUM(E14:I14)</f>
        <v>0</v>
      </c>
    </row>
    <row r="15" spans="2:10" ht="20" thickBot="1" x14ac:dyDescent="0.25">
      <c r="B15" s="85"/>
      <c r="C15" s="87"/>
      <c r="D15" s="16" t="s">
        <v>38</v>
      </c>
      <c r="E15" s="90"/>
      <c r="F15" s="90"/>
      <c r="G15" s="90"/>
      <c r="H15" s="90"/>
      <c r="I15" s="90"/>
      <c r="J15" s="91"/>
    </row>
    <row r="16" spans="2:10" ht="19" x14ac:dyDescent="0.2">
      <c r="B16" s="24">
        <v>1</v>
      </c>
      <c r="C16" s="46"/>
      <c r="D16" s="63"/>
      <c r="E16" s="43"/>
      <c r="F16" s="25"/>
      <c r="G16" s="25"/>
      <c r="H16" s="25"/>
      <c r="I16" s="49"/>
      <c r="J16" s="53">
        <f>($E$14*E16)+($F$14*F16)+($G$14*G16)+($H$14*H16)+($I$14*I16)</f>
        <v>0</v>
      </c>
    </row>
    <row r="17" spans="2:10" ht="19" x14ac:dyDescent="0.2">
      <c r="B17" s="26">
        <v>2</v>
      </c>
      <c r="C17" s="47"/>
      <c r="D17" s="64"/>
      <c r="E17" s="44"/>
      <c r="F17" s="28"/>
      <c r="G17" s="28"/>
      <c r="H17" s="28"/>
      <c r="I17" s="50"/>
      <c r="J17" s="54">
        <f>($E$14*E17)+($F$14*F17)+($G$14*G17)+($H$14*H17)+($I$14*I17)</f>
        <v>0</v>
      </c>
    </row>
    <row r="18" spans="2:10" ht="19" x14ac:dyDescent="0.2">
      <c r="B18" s="26">
        <v>3</v>
      </c>
      <c r="C18" s="47"/>
      <c r="D18" s="64"/>
      <c r="E18" s="44"/>
      <c r="F18" s="28"/>
      <c r="G18" s="28"/>
      <c r="H18" s="28"/>
      <c r="I18" s="50"/>
      <c r="J18" s="54">
        <f>($E$14*E18)+($F$14*F18)+($G$14*G18)+($H$14*H18)+($I$14*I18)</f>
        <v>0</v>
      </c>
    </row>
    <row r="19" spans="2:10" ht="19" x14ac:dyDescent="0.2">
      <c r="B19" s="26">
        <v>4</v>
      </c>
      <c r="C19" s="47"/>
      <c r="D19" s="64"/>
      <c r="E19" s="44"/>
      <c r="F19" s="28"/>
      <c r="G19" s="28"/>
      <c r="H19" s="28"/>
      <c r="I19" s="50"/>
      <c r="J19" s="54">
        <f>($E$14*E19)+($F$14*F19)+($G$14*G19)+($H$14*H19)+($I$14*I19)</f>
        <v>0</v>
      </c>
    </row>
    <row r="20" spans="2:10" ht="19" x14ac:dyDescent="0.2">
      <c r="B20" s="26">
        <v>5</v>
      </c>
      <c r="C20" s="47"/>
      <c r="D20" s="64"/>
      <c r="E20" s="44"/>
      <c r="F20" s="28"/>
      <c r="G20" s="28"/>
      <c r="H20" s="28"/>
      <c r="I20" s="50"/>
      <c r="J20" s="54">
        <f>($E$14*E20)+($F$14*F20)+($G$14*G20)+($H$14*H20)+($I$14*I20)</f>
        <v>0</v>
      </c>
    </row>
    <row r="21" spans="2:10" ht="19" x14ac:dyDescent="0.2">
      <c r="B21" s="26">
        <v>6</v>
      </c>
      <c r="C21" s="47"/>
      <c r="D21" s="64"/>
      <c r="E21" s="44"/>
      <c r="F21" s="28"/>
      <c r="G21" s="28"/>
      <c r="H21" s="28"/>
      <c r="I21" s="50"/>
      <c r="J21" s="54">
        <f>($E$14*E21)+($F$14*F21)+($G$14*G21)+($H$14*H21)+($I$14*I21)</f>
        <v>0</v>
      </c>
    </row>
    <row r="22" spans="2:10" ht="19" x14ac:dyDescent="0.2">
      <c r="B22" s="26">
        <v>7</v>
      </c>
      <c r="C22" s="47"/>
      <c r="D22" s="64"/>
      <c r="E22" s="44"/>
      <c r="F22" s="28"/>
      <c r="G22" s="28"/>
      <c r="H22" s="28"/>
      <c r="I22" s="50"/>
      <c r="J22" s="54">
        <f>($E$14*E22)+($F$14*F22)+($G$14*G22)+($H$14*H22)+($I$14*I22)</f>
        <v>0</v>
      </c>
    </row>
    <row r="23" spans="2:10" ht="19" x14ac:dyDescent="0.2">
      <c r="B23" s="26">
        <v>8</v>
      </c>
      <c r="C23" s="47"/>
      <c r="D23" s="64"/>
      <c r="E23" s="44"/>
      <c r="F23" s="28"/>
      <c r="G23" s="28"/>
      <c r="H23" s="28"/>
      <c r="I23" s="50"/>
      <c r="J23" s="54">
        <f>($E$14*E23)+($F$14*F23)+($G$14*G23)+($H$14*H23)+($I$14*I23)</f>
        <v>0</v>
      </c>
    </row>
    <row r="24" spans="2:10" ht="19" x14ac:dyDescent="0.2">
      <c r="B24" s="26">
        <v>9</v>
      </c>
      <c r="C24" s="47"/>
      <c r="D24" s="64"/>
      <c r="E24" s="44"/>
      <c r="F24" s="28"/>
      <c r="G24" s="28"/>
      <c r="H24" s="28"/>
      <c r="I24" s="50"/>
      <c r="J24" s="54">
        <f>($E$14*E24)+($F$14*F24)+($G$14*G24)+($H$14*H24)+($I$14*I24)</f>
        <v>0</v>
      </c>
    </row>
    <row r="25" spans="2:10" ht="19" x14ac:dyDescent="0.2">
      <c r="B25" s="26">
        <v>10</v>
      </c>
      <c r="C25" s="47"/>
      <c r="D25" s="64"/>
      <c r="E25" s="44"/>
      <c r="F25" s="28"/>
      <c r="G25" s="28"/>
      <c r="H25" s="28"/>
      <c r="I25" s="50"/>
      <c r="J25" s="54">
        <f>($E$14*E25)+($F$14*F25)+($G$14*G25)+($H$14*H25)+($I$14*I25)</f>
        <v>0</v>
      </c>
    </row>
    <row r="26" spans="2:10" ht="19" x14ac:dyDescent="0.2">
      <c r="B26" s="26">
        <v>11</v>
      </c>
      <c r="C26" s="47"/>
      <c r="D26" s="64"/>
      <c r="E26" s="44"/>
      <c r="F26" s="28"/>
      <c r="G26" s="28"/>
      <c r="H26" s="28"/>
      <c r="I26" s="50"/>
      <c r="J26" s="54">
        <f>($E$14*E26)+($F$14*F26)+($G$14*G26)+($H$14*H26)+($I$14*I26)</f>
        <v>0</v>
      </c>
    </row>
    <row r="27" spans="2:10" ht="19" x14ac:dyDescent="0.2">
      <c r="B27" s="26">
        <v>12</v>
      </c>
      <c r="C27" s="47"/>
      <c r="D27" s="64"/>
      <c r="E27" s="44"/>
      <c r="F27" s="28"/>
      <c r="G27" s="28"/>
      <c r="H27" s="28"/>
      <c r="I27" s="50"/>
      <c r="J27" s="54">
        <f>($E$14*E27)+($F$14*F27)+($G$14*G27)+($H$14*H27)+($I$14*I27)</f>
        <v>0</v>
      </c>
    </row>
    <row r="28" spans="2:10" ht="19" x14ac:dyDescent="0.2">
      <c r="B28" s="26">
        <v>13</v>
      </c>
      <c r="C28" s="47"/>
      <c r="D28" s="64"/>
      <c r="E28" s="44"/>
      <c r="F28" s="28"/>
      <c r="G28" s="28"/>
      <c r="H28" s="28"/>
      <c r="I28" s="50"/>
      <c r="J28" s="54">
        <f>($E$14*E28)+($F$14*F28)+($G$14*G28)+($H$14*H28)+($I$14*I28)</f>
        <v>0</v>
      </c>
    </row>
    <row r="29" spans="2:10" ht="19" x14ac:dyDescent="0.2">
      <c r="B29" s="26">
        <v>14</v>
      </c>
      <c r="C29" s="47"/>
      <c r="D29" s="64"/>
      <c r="E29" s="44"/>
      <c r="F29" s="28"/>
      <c r="G29" s="28"/>
      <c r="H29" s="28"/>
      <c r="I29" s="50"/>
      <c r="J29" s="54">
        <f>($E$14*E29)+($F$14*F29)+($G$14*G29)+($H$14*H29)+($I$14*I29)</f>
        <v>0</v>
      </c>
    </row>
    <row r="30" spans="2:10" ht="20" thickBot="1" x14ac:dyDescent="0.25">
      <c r="B30" s="30">
        <v>15</v>
      </c>
      <c r="C30" s="48"/>
      <c r="D30" s="65"/>
      <c r="E30" s="45"/>
      <c r="F30" s="31"/>
      <c r="G30" s="31"/>
      <c r="H30" s="31"/>
      <c r="I30" s="51"/>
      <c r="J30" s="55">
        <f>($E$14*E30)+($F$14*F30)+($G$14*G30)+($H$14*H30)+($I$14*I30)</f>
        <v>0</v>
      </c>
    </row>
    <row r="31" spans="2:10" ht="20" thickBot="1" x14ac:dyDescent="0.25">
      <c r="B31" s="92" t="s">
        <v>5</v>
      </c>
      <c r="C31" s="93"/>
      <c r="D31" s="94"/>
      <c r="E31" s="32">
        <f>SUM(E16:E30)</f>
        <v>0</v>
      </c>
      <c r="F31" s="32">
        <f>SUM(F16:F30)</f>
        <v>0</v>
      </c>
      <c r="G31" s="32">
        <f>SUM(G16:G30)</f>
        <v>0</v>
      </c>
      <c r="H31" s="32">
        <f>SUM(H16:H30)</f>
        <v>0</v>
      </c>
      <c r="I31" s="33">
        <f>SUM(I16:I30)</f>
        <v>0</v>
      </c>
      <c r="J31" s="52">
        <f>SUM(J16:J30)</f>
        <v>0</v>
      </c>
    </row>
    <row r="32" spans="2:10" ht="20" thickBot="1" x14ac:dyDescent="0.25">
      <c r="B32" s="1"/>
      <c r="C32" s="1"/>
      <c r="D32" s="1"/>
      <c r="E32" s="1"/>
      <c r="F32" s="1"/>
      <c r="G32" s="1"/>
      <c r="H32" s="1"/>
      <c r="I32" s="1"/>
      <c r="J32" s="1"/>
    </row>
    <row r="33" spans="2:10" ht="20" thickBot="1" x14ac:dyDescent="0.25">
      <c r="B33" s="42" t="s">
        <v>73</v>
      </c>
      <c r="C33" s="34" t="s">
        <v>39</v>
      </c>
      <c r="D33" s="35" t="s">
        <v>17</v>
      </c>
      <c r="E33" s="36" t="s">
        <v>40</v>
      </c>
      <c r="F33" s="1"/>
      <c r="G33" s="42" t="s">
        <v>72</v>
      </c>
      <c r="H33" s="34" t="s">
        <v>74</v>
      </c>
      <c r="I33" s="35" t="s">
        <v>75</v>
      </c>
      <c r="J33" s="36" t="s">
        <v>76</v>
      </c>
    </row>
    <row r="34" spans="2:10" ht="19" x14ac:dyDescent="0.2">
      <c r="B34" s="37">
        <v>1</v>
      </c>
      <c r="C34" s="38" t="s">
        <v>42</v>
      </c>
      <c r="D34" s="11"/>
      <c r="E34" s="12"/>
      <c r="G34" s="37">
        <v>1</v>
      </c>
      <c r="H34" s="11"/>
      <c r="I34" s="11"/>
      <c r="J34" s="12"/>
    </row>
    <row r="35" spans="2:10" ht="19" x14ac:dyDescent="0.2">
      <c r="B35" s="37">
        <v>2</v>
      </c>
      <c r="C35" s="6" t="s">
        <v>46</v>
      </c>
      <c r="D35" s="11"/>
      <c r="E35" s="12"/>
      <c r="F35" s="1"/>
      <c r="G35" s="37">
        <v>2</v>
      </c>
      <c r="H35" s="11"/>
      <c r="I35" s="11"/>
      <c r="J35" s="12"/>
    </row>
    <row r="36" spans="2:10" ht="19" x14ac:dyDescent="0.2">
      <c r="B36" s="37">
        <v>3</v>
      </c>
      <c r="C36" s="6" t="s">
        <v>47</v>
      </c>
      <c r="D36" s="11"/>
      <c r="E36" s="12"/>
      <c r="F36" s="1"/>
      <c r="G36" s="37">
        <v>3</v>
      </c>
      <c r="H36" s="11"/>
      <c r="I36" s="11"/>
      <c r="J36" s="12"/>
    </row>
    <row r="37" spans="2:10" ht="19" x14ac:dyDescent="0.2">
      <c r="B37" s="37">
        <v>4</v>
      </c>
      <c r="C37" s="6" t="s">
        <v>48</v>
      </c>
      <c r="D37" s="11"/>
      <c r="E37" s="12"/>
      <c r="F37" s="1"/>
      <c r="G37" s="37">
        <v>4</v>
      </c>
      <c r="H37" s="11"/>
      <c r="I37" s="11"/>
      <c r="J37" s="12"/>
    </row>
    <row r="38" spans="2:10" ht="19" x14ac:dyDescent="0.2">
      <c r="B38" s="37">
        <v>5</v>
      </c>
      <c r="C38" s="6" t="s">
        <v>52</v>
      </c>
      <c r="D38" s="11"/>
      <c r="E38" s="12"/>
      <c r="F38" s="1"/>
      <c r="G38" s="37">
        <v>5</v>
      </c>
      <c r="H38" s="11"/>
      <c r="I38" s="11"/>
      <c r="J38" s="12"/>
    </row>
    <row r="39" spans="2:10" ht="19" customHeight="1" x14ac:dyDescent="0.2">
      <c r="B39" s="37">
        <v>6</v>
      </c>
      <c r="C39" s="6" t="s">
        <v>53</v>
      </c>
      <c r="D39" s="11"/>
      <c r="E39" s="12"/>
      <c r="F39" s="1"/>
      <c r="G39" s="37">
        <v>6</v>
      </c>
      <c r="H39" s="11"/>
      <c r="I39" s="11"/>
      <c r="J39" s="12"/>
    </row>
    <row r="40" spans="2:10" ht="19" x14ac:dyDescent="0.2">
      <c r="B40" s="37">
        <v>7</v>
      </c>
      <c r="C40" s="6" t="s">
        <v>54</v>
      </c>
      <c r="D40" s="11"/>
      <c r="E40" s="12"/>
      <c r="F40" s="1"/>
      <c r="G40" s="37">
        <v>7</v>
      </c>
      <c r="H40" s="11"/>
      <c r="I40" s="11"/>
      <c r="J40" s="12"/>
    </row>
    <row r="41" spans="2:10" ht="19" x14ac:dyDescent="0.2">
      <c r="B41" s="37">
        <v>8</v>
      </c>
      <c r="C41" s="6" t="s">
        <v>58</v>
      </c>
      <c r="D41" s="11"/>
      <c r="E41" s="12"/>
      <c r="F41" s="1"/>
      <c r="G41" s="37">
        <v>8</v>
      </c>
      <c r="H41" s="11"/>
      <c r="I41" s="11"/>
      <c r="J41" s="12"/>
    </row>
    <row r="42" spans="2:10" ht="19" x14ac:dyDescent="0.2">
      <c r="B42" s="37">
        <v>9</v>
      </c>
      <c r="C42" s="6" t="s">
        <v>6</v>
      </c>
      <c r="D42" s="11"/>
      <c r="E42" s="12"/>
      <c r="F42" s="1"/>
      <c r="G42" s="37">
        <v>9</v>
      </c>
      <c r="H42" s="11"/>
      <c r="I42" s="11"/>
      <c r="J42" s="12"/>
    </row>
    <row r="43" spans="2:10" ht="19" x14ac:dyDescent="0.2">
      <c r="B43" s="37">
        <v>10</v>
      </c>
      <c r="C43" s="6" t="s">
        <v>6</v>
      </c>
      <c r="D43" s="11"/>
      <c r="E43" s="12"/>
      <c r="F43" s="1"/>
      <c r="G43" s="37">
        <v>10</v>
      </c>
      <c r="H43" s="11"/>
      <c r="I43" s="11"/>
      <c r="J43" s="12"/>
    </row>
    <row r="44" spans="2:10" ht="19" x14ac:dyDescent="0.2">
      <c r="B44" s="37">
        <v>11</v>
      </c>
      <c r="C44" s="6" t="s">
        <v>6</v>
      </c>
      <c r="D44" s="11"/>
      <c r="E44" s="12"/>
      <c r="F44" s="1"/>
      <c r="G44" s="37">
        <v>11</v>
      </c>
      <c r="H44" s="11"/>
      <c r="I44" s="11"/>
      <c r="J44" s="12"/>
    </row>
    <row r="45" spans="2:10" ht="20" thickBot="1" x14ac:dyDescent="0.25">
      <c r="B45" s="37">
        <v>12</v>
      </c>
      <c r="C45" s="6" t="s">
        <v>77</v>
      </c>
      <c r="D45" s="11"/>
      <c r="E45" s="12"/>
      <c r="F45" s="1"/>
      <c r="G45" s="37">
        <v>12</v>
      </c>
      <c r="H45" s="11"/>
      <c r="I45" s="11"/>
      <c r="J45" s="12"/>
    </row>
    <row r="46" spans="2:10" ht="20" thickBot="1" x14ac:dyDescent="0.25">
      <c r="B46" s="104" t="s">
        <v>5</v>
      </c>
      <c r="C46" s="105"/>
      <c r="D46" s="106"/>
      <c r="E46" s="40">
        <f>SUM(E34:E45)</f>
        <v>0</v>
      </c>
      <c r="F46" s="1"/>
      <c r="G46" s="104" t="s">
        <v>5</v>
      </c>
      <c r="H46" s="105"/>
      <c r="I46" s="106"/>
      <c r="J46" s="40">
        <f>SUM(J34:J45)</f>
        <v>0</v>
      </c>
    </row>
    <row r="47" spans="2:10" ht="20" thickBot="1" x14ac:dyDescent="0.25">
      <c r="B47" s="1"/>
      <c r="C47" s="1"/>
      <c r="D47" s="1"/>
      <c r="E47" s="1"/>
      <c r="F47" s="1"/>
      <c r="G47" s="41"/>
      <c r="H47" s="41"/>
      <c r="I47" s="41"/>
      <c r="J47" s="1"/>
    </row>
    <row r="48" spans="2:10" ht="20" thickBot="1" x14ac:dyDescent="0.25">
      <c r="B48" s="95" t="s">
        <v>41</v>
      </c>
      <c r="C48" s="96"/>
      <c r="D48" s="97"/>
      <c r="E48" s="1"/>
      <c r="F48" s="1"/>
      <c r="G48" s="41"/>
      <c r="H48" s="41"/>
      <c r="I48" s="41"/>
      <c r="J48" s="1"/>
    </row>
    <row r="49" spans="1:10" ht="19" x14ac:dyDescent="0.2">
      <c r="B49" s="98" t="s">
        <v>43</v>
      </c>
      <c r="C49" s="100" t="s">
        <v>44</v>
      </c>
      <c r="D49" s="102" t="s">
        <v>45</v>
      </c>
      <c r="E49" s="41"/>
      <c r="F49" s="41"/>
      <c r="G49" s="1"/>
      <c r="H49" s="1"/>
      <c r="I49" s="1"/>
      <c r="J49" s="41"/>
    </row>
    <row r="50" spans="1:10" ht="19" x14ac:dyDescent="0.2">
      <c r="B50" s="99"/>
      <c r="C50" s="101"/>
      <c r="D50" s="103"/>
      <c r="E50" s="41"/>
      <c r="F50" s="41"/>
      <c r="G50" s="1"/>
      <c r="H50" s="1"/>
      <c r="I50" s="1"/>
      <c r="J50" s="41"/>
    </row>
    <row r="51" spans="1:10" ht="20" thickBot="1" x14ac:dyDescent="0.25">
      <c r="B51" s="27"/>
      <c r="C51" s="11"/>
      <c r="D51" s="29"/>
      <c r="E51" s="41"/>
      <c r="F51" s="41"/>
      <c r="G51" s="1"/>
      <c r="H51" s="1"/>
      <c r="I51" s="1"/>
      <c r="J51" s="41"/>
    </row>
    <row r="52" spans="1:10" ht="19" x14ac:dyDescent="0.2">
      <c r="B52" s="98" t="s">
        <v>49</v>
      </c>
      <c r="C52" s="100" t="s">
        <v>50</v>
      </c>
      <c r="D52" s="102" t="s">
        <v>51</v>
      </c>
      <c r="E52" s="1"/>
      <c r="F52" s="1"/>
      <c r="G52" s="1"/>
      <c r="H52" s="1"/>
      <c r="I52" s="1"/>
      <c r="J52" s="1"/>
    </row>
    <row r="53" spans="1:10" ht="19" x14ac:dyDescent="0.2">
      <c r="B53" s="99"/>
      <c r="C53" s="101"/>
      <c r="D53" s="103"/>
      <c r="E53" s="1"/>
      <c r="F53" s="1"/>
      <c r="G53" s="1"/>
      <c r="H53" s="1"/>
      <c r="I53" s="1"/>
      <c r="J53" s="1"/>
    </row>
    <row r="54" spans="1:10" ht="20" thickBot="1" x14ac:dyDescent="0.25">
      <c r="B54" s="27"/>
      <c r="C54" s="11"/>
      <c r="D54" s="29"/>
      <c r="E54" s="1"/>
      <c r="F54" s="1"/>
      <c r="G54" s="1"/>
      <c r="H54" s="1"/>
      <c r="I54" s="1"/>
      <c r="J54" s="1"/>
    </row>
    <row r="55" spans="1:10" ht="19" x14ac:dyDescent="0.2">
      <c r="B55" s="98" t="s">
        <v>55</v>
      </c>
      <c r="C55" s="100" t="s">
        <v>56</v>
      </c>
      <c r="D55" s="102" t="s">
        <v>57</v>
      </c>
      <c r="E55" s="1"/>
      <c r="F55" s="1"/>
      <c r="G55" s="1"/>
      <c r="H55" s="1"/>
      <c r="I55" s="1"/>
      <c r="J55" s="1"/>
    </row>
    <row r="56" spans="1:10" ht="19" x14ac:dyDescent="0.2">
      <c r="B56" s="99"/>
      <c r="C56" s="101"/>
      <c r="D56" s="103"/>
      <c r="E56" s="1"/>
      <c r="F56" s="1"/>
      <c r="G56" s="1"/>
      <c r="H56" s="1"/>
      <c r="I56" s="1"/>
      <c r="J56" s="1"/>
    </row>
    <row r="57" spans="1:10" ht="20" thickBot="1" x14ac:dyDescent="0.25">
      <c r="B57" s="27"/>
      <c r="C57" s="11"/>
      <c r="D57" s="29"/>
      <c r="E57" s="1"/>
      <c r="F57" s="1"/>
      <c r="G57" s="1"/>
      <c r="H57" s="1"/>
      <c r="I57" s="1"/>
      <c r="J57" s="1"/>
    </row>
    <row r="58" spans="1:10" ht="20" thickBot="1" x14ac:dyDescent="0.25">
      <c r="B58" s="138" t="s">
        <v>59</v>
      </c>
      <c r="C58" s="139"/>
      <c r="D58" s="39">
        <f>D57+D54+D51</f>
        <v>0</v>
      </c>
      <c r="E58" s="1"/>
      <c r="F58" s="1"/>
      <c r="G58" s="1"/>
      <c r="H58" s="1"/>
      <c r="I58" s="1"/>
      <c r="J58" s="1"/>
    </row>
    <row r="59" spans="1:10" ht="19" x14ac:dyDescent="0.2">
      <c r="B59" s="1"/>
      <c r="C59" s="1"/>
      <c r="D59" s="1"/>
      <c r="E59" s="1"/>
      <c r="F59" s="1"/>
      <c r="G59" s="1"/>
      <c r="H59" s="1"/>
      <c r="I59" s="1"/>
      <c r="J59" s="1"/>
    </row>
    <row r="60" spans="1:10" ht="20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9" x14ac:dyDescent="0.2">
      <c r="B61" s="1"/>
      <c r="C61" s="1"/>
      <c r="D61" s="1"/>
      <c r="E61" s="1"/>
      <c r="F61" s="1"/>
      <c r="G61" s="1"/>
      <c r="H61" s="1"/>
      <c r="I61" s="1"/>
      <c r="J61" s="1"/>
    </row>
    <row r="62" spans="1:10" ht="19" x14ac:dyDescent="0.2">
      <c r="B62" s="1"/>
      <c r="C62" s="1"/>
      <c r="D62" s="1"/>
      <c r="E62" s="1"/>
      <c r="F62" s="1"/>
      <c r="G62" s="1"/>
      <c r="H62" s="1"/>
      <c r="I62" s="1"/>
      <c r="J62" s="1"/>
    </row>
    <row r="63" spans="1:10" ht="19" x14ac:dyDescent="0.2">
      <c r="B63" s="1"/>
      <c r="C63" s="1"/>
      <c r="D63" s="1"/>
      <c r="E63" s="1"/>
      <c r="F63" s="1"/>
      <c r="G63" s="1"/>
      <c r="H63" s="1"/>
      <c r="I63" s="1"/>
      <c r="J63" s="1"/>
    </row>
    <row r="64" spans="1:10" ht="19" x14ac:dyDescent="0.2">
      <c r="B64" s="1"/>
      <c r="C64" s="1"/>
      <c r="D64" s="1"/>
      <c r="E64" s="1"/>
      <c r="F64" s="1"/>
      <c r="G64" s="1"/>
      <c r="H64" s="1"/>
      <c r="I64" s="1"/>
      <c r="J64" s="1"/>
    </row>
    <row r="65" spans="2:10" ht="19" x14ac:dyDescent="0.2">
      <c r="B65" s="1"/>
      <c r="C65" s="1"/>
      <c r="D65" s="1"/>
      <c r="E65" s="1"/>
      <c r="F65" s="1"/>
      <c r="G65" s="1"/>
      <c r="H65" s="1"/>
      <c r="I65" s="1"/>
      <c r="J65" s="1"/>
    </row>
    <row r="66" spans="2:10" ht="19" x14ac:dyDescent="0.2">
      <c r="B66" s="1"/>
      <c r="C66" s="1"/>
      <c r="D66" s="1"/>
      <c r="E66" s="1"/>
      <c r="F66" s="1"/>
      <c r="G66" s="1"/>
      <c r="H66" s="1"/>
      <c r="I66" s="1"/>
      <c r="J66" s="1"/>
    </row>
    <row r="67" spans="2:10" ht="19" x14ac:dyDescent="0.2">
      <c r="B67" s="1"/>
      <c r="C67" s="1"/>
      <c r="D67" s="1"/>
      <c r="E67" s="1"/>
      <c r="F67" s="1"/>
      <c r="G67" s="1"/>
      <c r="H67" s="1"/>
      <c r="I67" s="1"/>
      <c r="J67" s="1"/>
    </row>
    <row r="68" spans="2:10" ht="19" x14ac:dyDescent="0.2">
      <c r="B68" s="1"/>
      <c r="C68" s="1"/>
      <c r="D68" s="1"/>
      <c r="E68" s="1"/>
      <c r="F68" s="1"/>
      <c r="G68" s="1"/>
      <c r="H68" s="1"/>
      <c r="I68" s="1"/>
      <c r="J68" s="1"/>
    </row>
    <row r="69" spans="2:10" ht="19" x14ac:dyDescent="0.2">
      <c r="B69" s="1"/>
      <c r="C69" s="1"/>
      <c r="D69" s="1"/>
      <c r="E69" s="1"/>
      <c r="F69" s="1"/>
      <c r="G69" s="1"/>
      <c r="H69" s="1"/>
      <c r="I69" s="1"/>
      <c r="J69" s="1"/>
    </row>
    <row r="70" spans="2:10" ht="19" x14ac:dyDescent="0.2">
      <c r="B70" s="1"/>
      <c r="C70" s="1"/>
      <c r="D70" s="1"/>
      <c r="E70" s="1"/>
      <c r="F70" s="1"/>
      <c r="G70" s="1"/>
      <c r="H70" s="1"/>
      <c r="I70" s="1"/>
      <c r="J70" s="1"/>
    </row>
    <row r="71" spans="2:10" ht="19" x14ac:dyDescent="0.2">
      <c r="B71" s="1"/>
      <c r="C71" s="1"/>
      <c r="D71" s="1"/>
      <c r="E71" s="1"/>
      <c r="F71" s="1"/>
      <c r="G71" s="1"/>
      <c r="H71" s="1"/>
      <c r="I71" s="1"/>
      <c r="J71" s="1"/>
    </row>
    <row r="72" spans="2:10" ht="19" x14ac:dyDescent="0.2">
      <c r="B72" s="1"/>
      <c r="C72" s="1"/>
      <c r="D72" s="1"/>
      <c r="E72" s="1"/>
      <c r="F72" s="1"/>
      <c r="G72" s="1"/>
      <c r="H72" s="1"/>
      <c r="I72" s="1"/>
      <c r="J72" s="1"/>
    </row>
    <row r="73" spans="2:10" ht="19" x14ac:dyDescent="0.2">
      <c r="B73" s="1"/>
      <c r="C73" s="1"/>
      <c r="D73" s="1"/>
      <c r="E73" s="1"/>
      <c r="F73" s="1"/>
      <c r="G73" s="1"/>
      <c r="H73" s="1"/>
      <c r="I73" s="1"/>
      <c r="J73" s="1"/>
    </row>
    <row r="74" spans="2:10" ht="19" x14ac:dyDescent="0.2">
      <c r="B74" s="1"/>
      <c r="C74" s="1"/>
      <c r="D74" s="1"/>
      <c r="E74" s="1"/>
      <c r="F74" s="1"/>
      <c r="G74" s="1"/>
      <c r="H74" s="1"/>
      <c r="I74" s="1"/>
      <c r="J74" s="1"/>
    </row>
    <row r="75" spans="2:10" ht="19" x14ac:dyDescent="0.2">
      <c r="B75" s="1"/>
      <c r="C75" s="1"/>
      <c r="D75" s="1"/>
      <c r="E75" s="1"/>
      <c r="F75" s="1"/>
      <c r="G75" s="1"/>
      <c r="H75" s="1"/>
      <c r="I75" s="1"/>
      <c r="J75" s="1"/>
    </row>
    <row r="76" spans="2:10" ht="19" x14ac:dyDescent="0.2">
      <c r="B76" s="1"/>
      <c r="C76" s="1"/>
      <c r="D76" s="1"/>
      <c r="E76" s="1"/>
      <c r="F76" s="1"/>
      <c r="G76" s="1"/>
      <c r="H76" s="1"/>
      <c r="I76" s="1"/>
      <c r="J76" s="1"/>
    </row>
    <row r="77" spans="2:10" ht="19" x14ac:dyDescent="0.2">
      <c r="B77" s="1"/>
      <c r="C77" s="1"/>
      <c r="D77" s="1"/>
      <c r="E77" s="1"/>
      <c r="F77" s="1"/>
      <c r="G77" s="1"/>
      <c r="H77" s="1"/>
      <c r="I77" s="1"/>
      <c r="J77" s="1"/>
    </row>
    <row r="78" spans="2:10" ht="19" x14ac:dyDescent="0.2">
      <c r="B78" s="1"/>
      <c r="C78" s="1"/>
      <c r="D78" s="1"/>
      <c r="E78" s="1"/>
      <c r="F78" s="1"/>
      <c r="G78" s="1"/>
      <c r="H78" s="1"/>
      <c r="I78" s="1"/>
      <c r="J78" s="1"/>
    </row>
    <row r="79" spans="2:10" ht="19" x14ac:dyDescent="0.2">
      <c r="B79" s="1"/>
      <c r="C79" s="1"/>
      <c r="D79" s="1"/>
      <c r="E79" s="1"/>
      <c r="F79" s="1"/>
      <c r="G79" s="1"/>
      <c r="H79" s="1"/>
      <c r="I79" s="1"/>
      <c r="J79" s="1"/>
    </row>
    <row r="80" spans="2:10" ht="19" x14ac:dyDescent="0.2">
      <c r="B80" s="1"/>
      <c r="C80" s="1"/>
      <c r="D80" s="1"/>
      <c r="E80" s="1"/>
      <c r="F80" s="1"/>
      <c r="G80" s="1"/>
      <c r="H80" s="1"/>
      <c r="I80" s="1"/>
      <c r="J80" s="1"/>
    </row>
    <row r="81" spans="2:10" ht="19" x14ac:dyDescent="0.2">
      <c r="B81" s="1"/>
      <c r="C81" s="1"/>
      <c r="D81" s="1"/>
      <c r="E81" s="1"/>
      <c r="F81" s="1"/>
      <c r="G81" s="1"/>
      <c r="H81" s="1"/>
      <c r="I81" s="1"/>
      <c r="J81" s="1"/>
    </row>
    <row r="82" spans="2:10" ht="19" x14ac:dyDescent="0.2">
      <c r="B82" s="1"/>
      <c r="C82" s="1"/>
      <c r="D82" s="1"/>
      <c r="E82" s="1"/>
      <c r="F82" s="1"/>
      <c r="G82" s="1"/>
      <c r="H82" s="1"/>
      <c r="I82" s="1"/>
      <c r="J82" s="1"/>
    </row>
    <row r="83" spans="2:10" ht="19" x14ac:dyDescent="0.2">
      <c r="B83" s="1"/>
      <c r="C83" s="1"/>
      <c r="D83" s="1"/>
      <c r="E83" s="1"/>
      <c r="F83" s="1"/>
      <c r="G83" s="1"/>
      <c r="H83" s="1"/>
      <c r="I83" s="1"/>
      <c r="J83" s="1"/>
    </row>
    <row r="84" spans="2:10" ht="19" x14ac:dyDescent="0.2">
      <c r="B84" s="1"/>
      <c r="C84" s="1"/>
      <c r="D84" s="1"/>
      <c r="E84" s="1"/>
      <c r="F84" s="1"/>
      <c r="G84" s="1"/>
      <c r="H84" s="1"/>
      <c r="I84" s="1"/>
      <c r="J84" s="1"/>
    </row>
    <row r="85" spans="2:10" ht="19" x14ac:dyDescent="0.2">
      <c r="B85" s="1"/>
      <c r="C85" s="1"/>
      <c r="D85" s="1"/>
      <c r="E85" s="1"/>
      <c r="F85" s="1"/>
      <c r="G85" s="1"/>
      <c r="H85" s="1"/>
      <c r="I85" s="1"/>
      <c r="J85" s="1"/>
    </row>
    <row r="86" spans="2:10" ht="19" x14ac:dyDescent="0.2">
      <c r="B86" s="1"/>
      <c r="C86" s="1"/>
      <c r="D86" s="1"/>
      <c r="E86" s="1"/>
      <c r="F86" s="1"/>
      <c r="G86" s="1"/>
      <c r="H86" s="1"/>
      <c r="I86" s="1"/>
      <c r="J86" s="1"/>
    </row>
    <row r="87" spans="2:10" ht="19" x14ac:dyDescent="0.2">
      <c r="B87" s="1"/>
      <c r="C87" s="1"/>
      <c r="D87" s="1"/>
      <c r="E87" s="1"/>
      <c r="F87" s="1"/>
      <c r="G87" s="1"/>
      <c r="H87" s="1"/>
      <c r="I87" s="1"/>
      <c r="J87" s="1"/>
    </row>
    <row r="88" spans="2:10" ht="19" x14ac:dyDescent="0.2">
      <c r="B88" s="1"/>
      <c r="C88" s="1"/>
      <c r="D88" s="1"/>
      <c r="E88" s="1"/>
      <c r="F88" s="1"/>
      <c r="G88" s="1"/>
      <c r="H88" s="1"/>
      <c r="I88" s="1"/>
      <c r="J88" s="1"/>
    </row>
    <row r="89" spans="2:10" ht="19" x14ac:dyDescent="0.2">
      <c r="B89" s="1"/>
      <c r="C89" s="1"/>
      <c r="D89" s="1"/>
      <c r="E89" s="1"/>
      <c r="F89" s="1"/>
      <c r="G89" s="1"/>
      <c r="H89" s="1"/>
      <c r="I89" s="1"/>
      <c r="J89" s="1"/>
    </row>
    <row r="90" spans="2:10" ht="19" x14ac:dyDescent="0.2">
      <c r="B90" s="1"/>
      <c r="C90" s="1"/>
      <c r="D90" s="1"/>
      <c r="E90" s="1"/>
      <c r="F90" s="1"/>
      <c r="G90" s="1"/>
      <c r="H90" s="1"/>
      <c r="I90" s="1"/>
      <c r="J90" s="1"/>
    </row>
    <row r="91" spans="2:10" ht="19" x14ac:dyDescent="0.2">
      <c r="B91" s="1"/>
      <c r="C91" s="1"/>
      <c r="D91" s="1"/>
      <c r="E91" s="1"/>
      <c r="F91" s="1"/>
      <c r="G91" s="1"/>
      <c r="H91" s="1"/>
      <c r="I91" s="1"/>
      <c r="J91" s="1"/>
    </row>
    <row r="92" spans="2:10" ht="19" x14ac:dyDescent="0.2">
      <c r="B92" s="1"/>
      <c r="C92" s="1"/>
      <c r="D92" s="1"/>
      <c r="E92" s="1"/>
      <c r="F92" s="1"/>
      <c r="G92" s="1"/>
      <c r="H92" s="1"/>
      <c r="I92" s="1"/>
      <c r="J92" s="1"/>
    </row>
    <row r="93" spans="2:10" ht="19" x14ac:dyDescent="0.2">
      <c r="B93" s="1"/>
      <c r="C93" s="1"/>
      <c r="D93" s="1"/>
      <c r="E93" s="1"/>
      <c r="F93" s="1"/>
      <c r="G93" s="1"/>
      <c r="H93" s="1"/>
      <c r="I93" s="1"/>
      <c r="J93" s="1"/>
    </row>
    <row r="94" spans="2:10" ht="19" x14ac:dyDescent="0.2">
      <c r="B94" s="1"/>
      <c r="C94" s="1"/>
      <c r="D94" s="1"/>
      <c r="E94" s="1"/>
      <c r="F94" s="1"/>
      <c r="G94" s="1"/>
      <c r="H94" s="1"/>
      <c r="I94" s="1"/>
      <c r="J94" s="1"/>
    </row>
    <row r="95" spans="2:10" ht="19" x14ac:dyDescent="0.2">
      <c r="B95" s="1"/>
      <c r="C95" s="1"/>
      <c r="D95" s="1"/>
      <c r="E95" s="1"/>
      <c r="F95" s="1"/>
      <c r="G95" s="1"/>
      <c r="H95" s="1"/>
      <c r="I95" s="1"/>
      <c r="J95" s="1"/>
    </row>
    <row r="96" spans="2:10" ht="19" x14ac:dyDescent="0.2">
      <c r="B96" s="1"/>
      <c r="C96" s="1"/>
      <c r="D96" s="1"/>
      <c r="E96" s="1"/>
      <c r="F96" s="1"/>
      <c r="G96" s="1"/>
      <c r="H96" s="1"/>
      <c r="I96" s="1"/>
      <c r="J96" s="1"/>
    </row>
    <row r="97" spans="2:10" ht="19" x14ac:dyDescent="0.2">
      <c r="B97" s="1"/>
      <c r="C97" s="1"/>
      <c r="D97" s="1"/>
      <c r="E97" s="1"/>
      <c r="F97" s="1"/>
      <c r="G97" s="1"/>
      <c r="H97" s="1"/>
      <c r="I97" s="1"/>
      <c r="J97" s="1"/>
    </row>
    <row r="98" spans="2:10" ht="19" x14ac:dyDescent="0.2">
      <c r="B98" s="1"/>
      <c r="C98" s="1"/>
      <c r="D98" s="1"/>
      <c r="E98" s="1"/>
      <c r="F98" s="1"/>
      <c r="G98" s="1"/>
      <c r="H98" s="1"/>
      <c r="I98" s="1"/>
      <c r="J98" s="1"/>
    </row>
    <row r="99" spans="2:10" ht="19" x14ac:dyDescent="0.2">
      <c r="B99" s="1"/>
      <c r="C99" s="1"/>
      <c r="D99" s="1"/>
      <c r="E99" s="1"/>
      <c r="F99" s="1"/>
      <c r="G99" s="1"/>
      <c r="H99" s="1"/>
      <c r="I99" s="1"/>
      <c r="J99" s="1"/>
    </row>
    <row r="100" spans="2:10" ht="19" x14ac:dyDescent="0.2">
      <c r="B100" s="1"/>
      <c r="C100" s="1"/>
      <c r="D100" s="1"/>
      <c r="E100" s="1"/>
      <c r="F100" s="1"/>
      <c r="G100" s="1"/>
      <c r="H100" s="1"/>
      <c r="I100" s="1"/>
      <c r="J100" s="1"/>
    </row>
    <row r="101" spans="2:10" ht="19" x14ac:dyDescent="0.2">
      <c r="B101" s="1"/>
      <c r="C101" s="1"/>
      <c r="D101" s="1"/>
      <c r="E101" s="1"/>
      <c r="F101" s="1"/>
      <c r="G101" s="1"/>
      <c r="H101" s="1"/>
      <c r="I101" s="1"/>
      <c r="J101" s="1"/>
    </row>
    <row r="102" spans="2:10" ht="19" x14ac:dyDescent="0.2">
      <c r="B102" s="1"/>
      <c r="C102" s="1"/>
      <c r="D102" s="1"/>
      <c r="E102" s="1"/>
      <c r="F102" s="1"/>
      <c r="G102" s="1"/>
      <c r="H102" s="1"/>
      <c r="I102" s="1"/>
      <c r="J102" s="1"/>
    </row>
    <row r="103" spans="2:10" ht="19" x14ac:dyDescent="0.2">
      <c r="B103" s="1"/>
      <c r="C103" s="1"/>
      <c r="D103" s="1"/>
      <c r="E103" s="1"/>
      <c r="F103" s="1"/>
      <c r="G103" s="1"/>
      <c r="H103" s="1"/>
      <c r="I103" s="1"/>
      <c r="J103" s="1"/>
    </row>
    <row r="104" spans="2:10" ht="19" x14ac:dyDescent="0.2">
      <c r="B104" s="1"/>
      <c r="C104" s="1"/>
      <c r="D104" s="1"/>
      <c r="E104" s="1"/>
      <c r="F104" s="1"/>
      <c r="G104" s="1"/>
      <c r="H104" s="1"/>
      <c r="I104" s="1"/>
      <c r="J104" s="1"/>
    </row>
    <row r="105" spans="2:10" ht="19" x14ac:dyDescent="0.2">
      <c r="B105" s="1"/>
      <c r="C105" s="1"/>
      <c r="D105" s="1"/>
      <c r="E105" s="1"/>
      <c r="F105" s="1"/>
      <c r="G105" s="1"/>
      <c r="H105" s="1"/>
      <c r="I105" s="1"/>
      <c r="J105" s="1"/>
    </row>
    <row r="106" spans="2:10" ht="19" x14ac:dyDescent="0.2">
      <c r="B106" s="1"/>
      <c r="C106" s="1"/>
      <c r="D106" s="1"/>
      <c r="E106" s="1"/>
      <c r="F106" s="1"/>
      <c r="G106" s="1"/>
      <c r="H106" s="1"/>
      <c r="I106" s="1"/>
      <c r="J106" s="1"/>
    </row>
    <row r="107" spans="2:10" ht="19" x14ac:dyDescent="0.2">
      <c r="B107" s="1"/>
      <c r="C107" s="1"/>
      <c r="D107" s="1"/>
      <c r="E107" s="1"/>
      <c r="F107" s="1"/>
      <c r="G107" s="1"/>
      <c r="H107" s="1"/>
      <c r="I107" s="1"/>
      <c r="J107" s="1"/>
    </row>
    <row r="108" spans="2:10" ht="19" x14ac:dyDescent="0.2">
      <c r="B108" s="1"/>
      <c r="C108" s="1"/>
      <c r="D108" s="1"/>
      <c r="E108" s="1"/>
      <c r="F108" s="1"/>
      <c r="G108" s="1"/>
      <c r="H108" s="1"/>
      <c r="I108" s="1"/>
      <c r="J108" s="1"/>
    </row>
    <row r="109" spans="2:10" ht="19" x14ac:dyDescent="0.2">
      <c r="B109" s="1"/>
      <c r="C109" s="1"/>
      <c r="D109" s="1"/>
      <c r="E109" s="1"/>
      <c r="F109" s="1"/>
      <c r="G109" s="1"/>
      <c r="H109" s="1"/>
      <c r="I109" s="1"/>
      <c r="J109" s="1"/>
    </row>
    <row r="110" spans="2:10" ht="19" x14ac:dyDescent="0.2">
      <c r="B110" s="1"/>
      <c r="C110" s="1"/>
      <c r="D110" s="1"/>
      <c r="E110" s="1"/>
      <c r="F110" s="1"/>
      <c r="G110" s="1"/>
      <c r="H110" s="1"/>
      <c r="I110" s="1"/>
      <c r="J110" s="1"/>
    </row>
    <row r="111" spans="2:10" ht="19" x14ac:dyDescent="0.2">
      <c r="B111" s="1"/>
      <c r="C111" s="1"/>
      <c r="D111" s="1"/>
      <c r="E111" s="1"/>
      <c r="F111" s="1"/>
      <c r="G111" s="1"/>
      <c r="H111" s="1"/>
      <c r="I111" s="1"/>
      <c r="J111" s="1"/>
    </row>
    <row r="112" spans="2:10" ht="19" x14ac:dyDescent="0.2">
      <c r="B112" s="1"/>
      <c r="C112" s="1"/>
      <c r="D112" s="1"/>
      <c r="E112" s="1"/>
      <c r="F112" s="1"/>
      <c r="G112" s="1"/>
      <c r="H112" s="1"/>
      <c r="I112" s="1"/>
      <c r="J112" s="1"/>
    </row>
    <row r="113" spans="2:10" ht="19" x14ac:dyDescent="0.2">
      <c r="B113" s="1"/>
      <c r="C113" s="1"/>
      <c r="D113" s="1"/>
      <c r="E113" s="1"/>
      <c r="F113" s="1"/>
      <c r="G113" s="1"/>
      <c r="H113" s="1"/>
      <c r="I113" s="1"/>
      <c r="J113" s="1"/>
    </row>
    <row r="114" spans="2:10" ht="19" x14ac:dyDescent="0.2">
      <c r="B114" s="1"/>
      <c r="C114" s="1"/>
      <c r="D114" s="1"/>
      <c r="E114" s="1"/>
      <c r="F114" s="1"/>
      <c r="G114" s="1"/>
      <c r="H114" s="1"/>
      <c r="I114" s="1"/>
      <c r="J114" s="1"/>
    </row>
    <row r="115" spans="2:10" ht="19" x14ac:dyDescent="0.2">
      <c r="B115" s="1"/>
      <c r="C115" s="1"/>
      <c r="D115" s="1"/>
      <c r="E115" s="1"/>
      <c r="F115" s="1"/>
      <c r="G115" s="1"/>
      <c r="H115" s="1"/>
      <c r="I115" s="1"/>
      <c r="J115" s="1"/>
    </row>
    <row r="116" spans="2:10" ht="19" x14ac:dyDescent="0.2">
      <c r="B116" s="1"/>
      <c r="C116" s="1"/>
      <c r="D116" s="1"/>
      <c r="E116" s="1"/>
      <c r="F116" s="1"/>
      <c r="G116" s="1"/>
      <c r="H116" s="1"/>
      <c r="I116" s="1"/>
      <c r="J116" s="1"/>
    </row>
    <row r="117" spans="2:10" ht="19" x14ac:dyDescent="0.2">
      <c r="B117" s="1"/>
      <c r="C117" s="1"/>
      <c r="D117" s="1"/>
      <c r="E117" s="1"/>
      <c r="F117" s="1"/>
      <c r="G117" s="1"/>
      <c r="H117" s="1"/>
      <c r="I117" s="1"/>
      <c r="J117" s="1"/>
    </row>
    <row r="118" spans="2:10" ht="19" x14ac:dyDescent="0.2">
      <c r="B118" s="1"/>
      <c r="C118" s="1"/>
      <c r="D118" s="1"/>
      <c r="E118" s="1"/>
      <c r="F118" s="1"/>
      <c r="G118" s="1"/>
      <c r="H118" s="1"/>
      <c r="I118" s="1"/>
      <c r="J118" s="1"/>
    </row>
    <row r="119" spans="2:10" ht="19" x14ac:dyDescent="0.2">
      <c r="B119" s="1"/>
      <c r="C119" s="1"/>
      <c r="D119" s="1"/>
      <c r="E119" s="1"/>
      <c r="F119" s="1"/>
      <c r="G119" s="1"/>
      <c r="H119" s="1"/>
      <c r="I119" s="1"/>
      <c r="J119" s="1"/>
    </row>
    <row r="120" spans="2:10" ht="19" x14ac:dyDescent="0.2">
      <c r="B120" s="1"/>
      <c r="C120" s="1"/>
      <c r="D120" s="1"/>
      <c r="E120" s="1"/>
      <c r="F120" s="1"/>
      <c r="G120" s="1"/>
      <c r="H120" s="1"/>
      <c r="I120" s="1"/>
      <c r="J120" s="1"/>
    </row>
    <row r="121" spans="2:10" ht="19" x14ac:dyDescent="0.2">
      <c r="B121" s="1"/>
      <c r="C121" s="1"/>
      <c r="D121" s="1"/>
      <c r="E121" s="1"/>
      <c r="F121" s="1"/>
      <c r="G121" s="1"/>
      <c r="H121" s="1"/>
      <c r="I121" s="1"/>
      <c r="J121" s="1"/>
    </row>
    <row r="122" spans="2:10" ht="19" x14ac:dyDescent="0.2">
      <c r="B122" s="1"/>
      <c r="C122" s="1"/>
      <c r="D122" s="1"/>
      <c r="E122" s="1"/>
      <c r="F122" s="1"/>
      <c r="G122" s="1"/>
      <c r="H122" s="1"/>
      <c r="I122" s="1"/>
      <c r="J122" s="1"/>
    </row>
    <row r="123" spans="2:10" ht="19" x14ac:dyDescent="0.2">
      <c r="B123" s="1"/>
      <c r="C123" s="1"/>
      <c r="D123" s="1"/>
      <c r="E123" s="1"/>
      <c r="F123" s="1"/>
      <c r="G123" s="1"/>
      <c r="H123" s="1"/>
      <c r="I123" s="1"/>
      <c r="J123" s="1"/>
    </row>
  </sheetData>
  <mergeCells count="29">
    <mergeCell ref="B58:C58"/>
    <mergeCell ref="G46:I46"/>
    <mergeCell ref="B52:B53"/>
    <mergeCell ref="C52:C53"/>
    <mergeCell ref="D52:D53"/>
    <mergeCell ref="B55:B56"/>
    <mergeCell ref="C55:C56"/>
    <mergeCell ref="D55:D56"/>
    <mergeCell ref="J12:J13"/>
    <mergeCell ref="E15:J15"/>
    <mergeCell ref="B31:D31"/>
    <mergeCell ref="B48:D48"/>
    <mergeCell ref="B49:B50"/>
    <mergeCell ref="C49:C50"/>
    <mergeCell ref="D49:D50"/>
    <mergeCell ref="B46:D46"/>
    <mergeCell ref="F8:F9"/>
    <mergeCell ref="H8:H9"/>
    <mergeCell ref="I8:I9"/>
    <mergeCell ref="B11:C11"/>
    <mergeCell ref="B12:B15"/>
    <mergeCell ref="C12:C15"/>
    <mergeCell ref="B7:C7"/>
    <mergeCell ref="D7:J7"/>
    <mergeCell ref="B2:J2"/>
    <mergeCell ref="B5:C5"/>
    <mergeCell ref="D5:J5"/>
    <mergeCell ref="B6:C6"/>
    <mergeCell ref="D6:J6"/>
  </mergeCells>
  <conditionalFormatting sqref="B51:D51">
    <cfRule type="containsBlanks" dxfId="16" priority="15" stopIfTrue="1">
      <formula>LEN(TRIM(B51))=0</formula>
    </cfRule>
  </conditionalFormatting>
  <conditionalFormatting sqref="B54:D54">
    <cfRule type="containsBlanks" dxfId="15" priority="14" stopIfTrue="1">
      <formula>LEN(TRIM(B54))=0</formula>
    </cfRule>
  </conditionalFormatting>
  <conditionalFormatting sqref="B57:D57">
    <cfRule type="containsBlanks" dxfId="14" priority="13" stopIfTrue="1">
      <formula>LEN(TRIM(B57))=0</formula>
    </cfRule>
  </conditionalFormatting>
  <conditionalFormatting sqref="C9:E9 G9 J9">
    <cfRule type="containsBlanks" dxfId="13" priority="18" stopIfTrue="1">
      <formula>LEN(TRIM(C9))=0</formula>
    </cfRule>
  </conditionalFormatting>
  <conditionalFormatting sqref="C16:I30">
    <cfRule type="containsBlanks" dxfId="12" priority="10" stopIfTrue="1">
      <formula>LEN(TRIM(C16))=0</formula>
    </cfRule>
  </conditionalFormatting>
  <conditionalFormatting sqref="C10:J10">
    <cfRule type="containsBlanks" dxfId="11" priority="21" stopIfTrue="1">
      <formula>LEN(TRIM(C10))=0</formula>
    </cfRule>
  </conditionalFormatting>
  <conditionalFormatting sqref="D5:D7">
    <cfRule type="containsBlanks" dxfId="10" priority="12" stopIfTrue="1">
      <formula>LEN(TRIM(D5))=0</formula>
    </cfRule>
  </conditionalFormatting>
  <conditionalFormatting sqref="D34:E45">
    <cfRule type="containsBlanks" dxfId="9" priority="16" stopIfTrue="1">
      <formula>LEN(TRIM(D34))=0</formula>
    </cfRule>
  </conditionalFormatting>
  <conditionalFormatting sqref="E14:I14">
    <cfRule type="containsBlanks" dxfId="8" priority="11" stopIfTrue="1">
      <formula>LEN(TRIM(E14))=0</formula>
    </cfRule>
  </conditionalFormatting>
  <conditionalFormatting sqref="E31:I31">
    <cfRule type="cellIs" dxfId="7" priority="22" operator="equal">
      <formula>E$13</formula>
    </cfRule>
    <cfRule type="cellIs" dxfId="6" priority="23" stopIfTrue="1" operator="notEqual">
      <formula>1</formula>
    </cfRule>
  </conditionalFormatting>
  <conditionalFormatting sqref="H34:J45">
    <cfRule type="containsBlanks" dxfId="5" priority="5" stopIfTrue="1">
      <formula>LEN(TRIM(H34))=0</formula>
    </cfRule>
  </conditionalFormatting>
  <conditionalFormatting sqref="J14">
    <cfRule type="cellIs" dxfId="4" priority="20" stopIfTrue="1" operator="notEqual">
      <formula>1</formula>
    </cfRule>
  </conditionalFormatting>
  <conditionalFormatting sqref="J31">
    <cfRule type="cellIs" dxfId="3" priority="19" operator="notEqual">
      <formula>1</formula>
    </cfRule>
  </conditionalFormatting>
  <dataValidations count="9">
    <dataValidation allowBlank="1" showInputMessage="1" showErrorMessage="1" error="Enter Percentage between 0% &amp; 100%_x000a_ادخل نسبة مئوية بين 0٪ و 100٪" prompt="Insert %_x000a_ادخل نسبة مئوية" sqref="E14:I14" xr:uid="{F8CB8592-6193-A84E-8AC2-EFDEEECEDA01}"/>
    <dataValidation allowBlank="1" showInputMessage="1" showErrorMessage="1" prompt="ادخل عدد الوان الطباعة_x000a_Enter the no. Of Printing Colors" sqref="I10" xr:uid="{F0B94B2D-07DB-4446-AD4F-619C8F26FB7E}"/>
    <dataValidation allowBlank="1" showInputMessage="1" showErrorMessage="1" prompt="ادخل نوع الخامة_x000a_Enter R.M. Grade" sqref="D16:D30" xr:uid="{578A3728-FAF7-3748-AB61-4AA6F2ADBACF}"/>
    <dataValidation type="list" allowBlank="1" showInputMessage="1" showErrorMessage="1" sqref="J9" xr:uid="{AC6E23BE-CDA0-064E-9C47-EE250885746B}">
      <formula1>"mm,cm,m"</formula1>
    </dataValidation>
    <dataValidation type="list" allowBlank="1" showInputMessage="1" showErrorMessage="1" sqref="G9" xr:uid="{28450464-0915-924A-AFFD-BD17F6D1438D}">
      <formula1>"cm, mm"</formula1>
    </dataValidation>
    <dataValidation type="list" allowBlank="1" showInputMessage="1" showErrorMessage="1" sqref="F10" xr:uid="{08848CC2-F225-C442-B81D-59312D09DA1E}">
      <formula1>"Yes,No"</formula1>
    </dataValidation>
    <dataValidation type="list" allowBlank="1" showInputMessage="1" showErrorMessage="1" sqref="D9" xr:uid="{34BA955B-B897-B74B-B4AB-851174CE7342}">
      <formula1>"micon,mm"</formula1>
    </dataValidation>
    <dataValidation type="list" allowBlank="1" showInputMessage="1" showErrorMessage="1" sqref="C9 E9" xr:uid="{9605933B-8962-4D4A-9EE4-58643A821895}">
      <formula1>"cm,m"</formula1>
    </dataValidation>
    <dataValidation type="list" showInputMessage="1" showErrorMessage="1" sqref="H10" xr:uid="{085F0E16-3B0A-E748-A832-9F6BE8A27223}">
      <formula1>"Tranparent,White,Black,Blue,Brown,Yellow,Green,Black/White,Silver/Brown,Other"</formula1>
    </dataValidation>
  </dataValidations>
  <pageMargins left="0.7" right="0.7" top="0.75" bottom="0.75" header="0.3" footer="0.3"/>
  <pageSetup paperSize="9" scale="44" orientation="portrait" horizontalDpi="0" verticalDpi="0"/>
  <colBreaks count="1" manualBreakCount="1">
    <brk id="11" max="65" man="1"/>
  </col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896E508-5E03-9E45-A87D-74072C7EABA6}">
          <x14:formula1>
            <xm:f>'Raw Material'!$E$9:$E$72</xm:f>
          </x14:formula1>
          <xm:sqref>C16:C30</xm:sqref>
        </x14:dataValidation>
        <x14:dataValidation type="list" allowBlank="1" showInputMessage="1" showErrorMessage="1" xr:uid="{EC3ED3A5-859B-A44D-A6A6-1393F1787C27}">
          <x14:formula1>
            <xm:f>'Raw Material'!$E$74:$E$92</xm:f>
          </x14:formula1>
          <xm:sqref>D34:D45</xm:sqref>
        </x14:dataValidation>
        <x14:dataValidation type="list" allowBlank="1" showInputMessage="1" showErrorMessage="1" xr:uid="{B1A22A6B-C193-234D-B232-F4C5EFEC9F98}">
          <x14:formula1>
            <xm:f>'Raw Material'!$E$101:$E$113</xm:f>
          </x14:formula1>
          <xm:sqref>I34:I45</xm:sqref>
        </x14:dataValidation>
        <x14:dataValidation type="list" allowBlank="1" showInputMessage="1" showErrorMessage="1" xr:uid="{59CCF114-BEE7-6F42-AF5B-DADFAF5EAFA6}">
          <x14:formula1>
            <xm:f>'Raw Material'!$D$101:$D$113</xm:f>
          </x14:formula1>
          <xm:sqref>H34:H45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9F8C-205A-2E4A-8787-529BCE37E15A}">
  <dimension ref="B1:I64"/>
  <sheetViews>
    <sheetView topLeftCell="A29" workbookViewId="0">
      <selection activeCell="L28" sqref="L28"/>
    </sheetView>
  </sheetViews>
  <sheetFormatPr baseColWidth="10" defaultRowHeight="16" x14ac:dyDescent="0.2"/>
  <cols>
    <col min="1" max="1" width="8.33203125" customWidth="1"/>
    <col min="3" max="4" width="24.1640625" customWidth="1"/>
    <col min="5" max="5" width="16" customWidth="1"/>
    <col min="6" max="8" width="16.5" customWidth="1"/>
  </cols>
  <sheetData>
    <row r="1" spans="2:9" ht="17" thickBot="1" x14ac:dyDescent="0.25"/>
    <row r="2" spans="2:9" ht="48" thickBot="1" x14ac:dyDescent="0.25">
      <c r="B2" s="77" t="s">
        <v>13</v>
      </c>
      <c r="C2" s="78"/>
      <c r="D2" s="78"/>
      <c r="E2" s="78"/>
      <c r="F2" s="78"/>
      <c r="G2" s="78"/>
      <c r="H2" s="78"/>
      <c r="I2" s="79"/>
    </row>
    <row r="5" spans="2:9" x14ac:dyDescent="0.2">
      <c r="C5" s="140" t="s">
        <v>60</v>
      </c>
      <c r="D5" s="140" t="s">
        <v>61</v>
      </c>
      <c r="E5" s="140" t="s">
        <v>2</v>
      </c>
      <c r="F5" s="140" t="s">
        <v>3</v>
      </c>
      <c r="G5" s="140" t="s">
        <v>4</v>
      </c>
      <c r="H5" s="140" t="s">
        <v>2</v>
      </c>
    </row>
    <row r="6" spans="2:9" x14ac:dyDescent="0.2">
      <c r="C6" s="140"/>
      <c r="D6" s="140"/>
      <c r="E6" s="140"/>
      <c r="F6" s="140"/>
      <c r="G6" s="140"/>
      <c r="H6" s="140"/>
    </row>
    <row r="7" spans="2:9" ht="19" x14ac:dyDescent="0.2">
      <c r="C7" s="3">
        <f>Recipe!C16</f>
        <v>0</v>
      </c>
      <c r="D7" s="3">
        <f>Recipe!D16</f>
        <v>0</v>
      </c>
      <c r="E7" s="4">
        <f>IFERROR(VLOOKUP(C7,'Raw Material'!$E$9:$H$72,3,FALSE),0)</f>
        <v>0</v>
      </c>
      <c r="F7" s="3">
        <f>G7*1000</f>
        <v>0</v>
      </c>
      <c r="G7" s="5">
        <f>Recipe!J16</f>
        <v>0</v>
      </c>
      <c r="H7" s="4">
        <f>IFERROR(G7*E7,0)</f>
        <v>0</v>
      </c>
    </row>
    <row r="8" spans="2:9" ht="19" x14ac:dyDescent="0.2">
      <c r="C8" s="3">
        <f>Recipe!C17</f>
        <v>0</v>
      </c>
      <c r="D8" s="3">
        <f>Recipe!D17</f>
        <v>0</v>
      </c>
      <c r="E8" s="4">
        <f>IFERROR(VLOOKUP(C8,'Raw Material'!$E$9:$H$72,3,FALSE),0)</f>
        <v>0</v>
      </c>
      <c r="F8" s="3">
        <f>G8*1000</f>
        <v>0</v>
      </c>
      <c r="G8" s="5">
        <f>Recipe!J17</f>
        <v>0</v>
      </c>
      <c r="H8" s="4">
        <f>IFERROR(G8*E8,0)</f>
        <v>0</v>
      </c>
    </row>
    <row r="9" spans="2:9" ht="19" x14ac:dyDescent="0.2">
      <c r="C9" s="3">
        <f>Recipe!C18</f>
        <v>0</v>
      </c>
      <c r="D9" s="3">
        <f>Recipe!D18</f>
        <v>0</v>
      </c>
      <c r="E9" s="4">
        <f>IFERROR(VLOOKUP(C9,'Raw Material'!$E$9:$H$72,3,FALSE),0)</f>
        <v>0</v>
      </c>
      <c r="F9" s="3">
        <f>G9*1000</f>
        <v>0</v>
      </c>
      <c r="G9" s="5">
        <f>Recipe!J18</f>
        <v>0</v>
      </c>
      <c r="H9" s="4">
        <f>IFERROR(G9*E9,0)</f>
        <v>0</v>
      </c>
    </row>
    <row r="10" spans="2:9" ht="19" x14ac:dyDescent="0.2">
      <c r="C10" s="3">
        <f>Recipe!C19</f>
        <v>0</v>
      </c>
      <c r="D10" s="3">
        <f>Recipe!D19</f>
        <v>0</v>
      </c>
      <c r="E10" s="4">
        <f>IFERROR(VLOOKUP(C10,'Raw Material'!$E$9:$H$72,3,FALSE),0)</f>
        <v>0</v>
      </c>
      <c r="F10" s="3">
        <f>G10*1000</f>
        <v>0</v>
      </c>
      <c r="G10" s="5">
        <f>Recipe!J19</f>
        <v>0</v>
      </c>
      <c r="H10" s="4">
        <f>IFERROR(G10*E10,0)</f>
        <v>0</v>
      </c>
    </row>
    <row r="11" spans="2:9" ht="19" x14ac:dyDescent="0.2">
      <c r="C11" s="3">
        <f>Recipe!C20</f>
        <v>0</v>
      </c>
      <c r="D11" s="3">
        <f>Recipe!D20</f>
        <v>0</v>
      </c>
      <c r="E11" s="4">
        <f>IFERROR(VLOOKUP(C11,'Raw Material'!$E$9:$H$72,3,FALSE),0)</f>
        <v>0</v>
      </c>
      <c r="F11" s="3">
        <f>G11*1000</f>
        <v>0</v>
      </c>
      <c r="G11" s="5">
        <f>Recipe!J20</f>
        <v>0</v>
      </c>
      <c r="H11" s="4">
        <f>IFERROR(G11*E11,0)</f>
        <v>0</v>
      </c>
    </row>
    <row r="12" spans="2:9" ht="19" x14ac:dyDescent="0.2">
      <c r="C12" s="3">
        <f>Recipe!C21</f>
        <v>0</v>
      </c>
      <c r="D12" s="3">
        <f>Recipe!D21</f>
        <v>0</v>
      </c>
      <c r="E12" s="4">
        <f>IFERROR(VLOOKUP(C12,'Raw Material'!$E$9:$H$72,3,FALSE),0)</f>
        <v>0</v>
      </c>
      <c r="F12" s="3">
        <f>G12*1000</f>
        <v>0</v>
      </c>
      <c r="G12" s="5">
        <f>Recipe!J21</f>
        <v>0</v>
      </c>
      <c r="H12" s="4">
        <f>IFERROR(G12*E12,0)</f>
        <v>0</v>
      </c>
    </row>
    <row r="13" spans="2:9" ht="19" x14ac:dyDescent="0.2">
      <c r="C13" s="3">
        <f>Recipe!C22</f>
        <v>0</v>
      </c>
      <c r="D13" s="3">
        <f>Recipe!D22</f>
        <v>0</v>
      </c>
      <c r="E13" s="4">
        <f>IFERROR(VLOOKUP(C13,'Raw Material'!$E$9:$H$72,3,FALSE),0)</f>
        <v>0</v>
      </c>
      <c r="F13" s="3">
        <f>G13*1000</f>
        <v>0</v>
      </c>
      <c r="G13" s="5">
        <f>Recipe!J22</f>
        <v>0</v>
      </c>
      <c r="H13" s="4">
        <f>IFERROR(G13*E13,0)</f>
        <v>0</v>
      </c>
    </row>
    <row r="14" spans="2:9" ht="19" x14ac:dyDescent="0.2">
      <c r="C14" s="3">
        <f>Recipe!C23</f>
        <v>0</v>
      </c>
      <c r="D14" s="3">
        <f>Recipe!D23</f>
        <v>0</v>
      </c>
      <c r="E14" s="4">
        <f>IFERROR(VLOOKUP(C14,'Raw Material'!$E$9:$H$72,3,FALSE),0)</f>
        <v>0</v>
      </c>
      <c r="F14" s="3">
        <f>G14*1000</f>
        <v>0</v>
      </c>
      <c r="G14" s="5">
        <f>Recipe!J23</f>
        <v>0</v>
      </c>
      <c r="H14" s="4">
        <f>IFERROR(G14*E14,0)</f>
        <v>0</v>
      </c>
    </row>
    <row r="15" spans="2:9" ht="19" x14ac:dyDescent="0.2">
      <c r="C15" s="3">
        <f>Recipe!C24</f>
        <v>0</v>
      </c>
      <c r="D15" s="3">
        <f>Recipe!D24</f>
        <v>0</v>
      </c>
      <c r="E15" s="4">
        <f>IFERROR(VLOOKUP(C15,'Raw Material'!$E$9:$H$72,3,FALSE),0)</f>
        <v>0</v>
      </c>
      <c r="F15" s="3">
        <f>G15*1000</f>
        <v>0</v>
      </c>
      <c r="G15" s="5">
        <f>Recipe!J24</f>
        <v>0</v>
      </c>
      <c r="H15" s="4">
        <f>IFERROR(G15*E15,0)</f>
        <v>0</v>
      </c>
    </row>
    <row r="16" spans="2:9" ht="19" x14ac:dyDescent="0.2">
      <c r="C16" s="3">
        <f>Recipe!C25</f>
        <v>0</v>
      </c>
      <c r="D16" s="3">
        <f>Recipe!D25</f>
        <v>0</v>
      </c>
      <c r="E16" s="4">
        <f>IFERROR(VLOOKUP(C16,'Raw Material'!$E$9:$H$72,3,FALSE),0)</f>
        <v>0</v>
      </c>
      <c r="F16" s="3">
        <f>G16*1000</f>
        <v>0</v>
      </c>
      <c r="G16" s="5">
        <f>Recipe!J25</f>
        <v>0</v>
      </c>
      <c r="H16" s="4">
        <f>IFERROR(G16*E16,0)</f>
        <v>0</v>
      </c>
    </row>
    <row r="17" spans="3:8" ht="19" x14ac:dyDescent="0.2">
      <c r="C17" s="3">
        <f>Recipe!C26</f>
        <v>0</v>
      </c>
      <c r="D17" s="3">
        <f>Recipe!D26</f>
        <v>0</v>
      </c>
      <c r="E17" s="4">
        <f>IFERROR(VLOOKUP(C17,'Raw Material'!$E$9:$H$72,3,FALSE),0)</f>
        <v>0</v>
      </c>
      <c r="F17" s="3">
        <f>G17*1000</f>
        <v>0</v>
      </c>
      <c r="G17" s="5">
        <f>Recipe!J26</f>
        <v>0</v>
      </c>
      <c r="H17" s="4">
        <f>IFERROR(G17*E17,0)</f>
        <v>0</v>
      </c>
    </row>
    <row r="18" spans="3:8" ht="19" x14ac:dyDescent="0.2">
      <c r="C18" s="3">
        <f>Recipe!C27</f>
        <v>0</v>
      </c>
      <c r="D18" s="3">
        <f>Recipe!D27</f>
        <v>0</v>
      </c>
      <c r="E18" s="4">
        <f>IFERROR(VLOOKUP(C18,'Raw Material'!$E$9:$H$72,3,FALSE),0)</f>
        <v>0</v>
      </c>
      <c r="F18" s="3">
        <f>G18*1000</f>
        <v>0</v>
      </c>
      <c r="G18" s="5">
        <f>Recipe!J27</f>
        <v>0</v>
      </c>
      <c r="H18" s="4">
        <f>IFERROR(G18*E18,0)</f>
        <v>0</v>
      </c>
    </row>
    <row r="19" spans="3:8" ht="19" x14ac:dyDescent="0.2">
      <c r="C19" s="3">
        <f>Recipe!C28</f>
        <v>0</v>
      </c>
      <c r="D19" s="3">
        <f>Recipe!D28</f>
        <v>0</v>
      </c>
      <c r="E19" s="4">
        <f>IFERROR(VLOOKUP(C19,'Raw Material'!$E$9:$H$72,3,FALSE),0)</f>
        <v>0</v>
      </c>
      <c r="F19" s="3">
        <f>G19*1000</f>
        <v>0</v>
      </c>
      <c r="G19" s="5">
        <f>Recipe!J28</f>
        <v>0</v>
      </c>
      <c r="H19" s="4">
        <f>IFERROR(G19*E19,0)</f>
        <v>0</v>
      </c>
    </row>
    <row r="20" spans="3:8" ht="19" x14ac:dyDescent="0.2">
      <c r="C20" s="3">
        <f>Recipe!C29</f>
        <v>0</v>
      </c>
      <c r="D20" s="3">
        <f>Recipe!D29</f>
        <v>0</v>
      </c>
      <c r="E20" s="4">
        <f>IFERROR(VLOOKUP(C20,'Raw Material'!$E$9:$H$72,3,FALSE),0)</f>
        <v>0</v>
      </c>
      <c r="F20" s="3">
        <f>G20*1000</f>
        <v>0</v>
      </c>
      <c r="G20" s="5">
        <f>Recipe!J29</f>
        <v>0</v>
      </c>
      <c r="H20" s="4">
        <f>IFERROR(G20*E20,0)</f>
        <v>0</v>
      </c>
    </row>
    <row r="21" spans="3:8" x14ac:dyDescent="0.2">
      <c r="C21" s="143" t="s">
        <v>89</v>
      </c>
      <c r="D21" s="144"/>
      <c r="E21" s="145"/>
      <c r="F21" s="149">
        <f>SUM(F7:F20)</f>
        <v>0</v>
      </c>
      <c r="G21" s="151">
        <f>SUM(G7:G20)</f>
        <v>0</v>
      </c>
      <c r="H21" s="153">
        <f>SUM(H7:H20)</f>
        <v>0</v>
      </c>
    </row>
    <row r="22" spans="3:8" x14ac:dyDescent="0.2">
      <c r="C22" s="146"/>
      <c r="D22" s="147"/>
      <c r="E22" s="148"/>
      <c r="F22" s="150"/>
      <c r="G22" s="152"/>
      <c r="H22" s="154"/>
    </row>
    <row r="23" spans="3:8" x14ac:dyDescent="0.2">
      <c r="C23" s="140" t="s">
        <v>78</v>
      </c>
      <c r="D23" s="140" t="s">
        <v>79</v>
      </c>
      <c r="E23" s="140" t="s">
        <v>2</v>
      </c>
      <c r="F23" s="155" t="s">
        <v>80</v>
      </c>
      <c r="G23" s="140" t="s">
        <v>81</v>
      </c>
      <c r="H23" s="140" t="s">
        <v>82</v>
      </c>
    </row>
    <row r="24" spans="3:8" x14ac:dyDescent="0.2">
      <c r="C24" s="140"/>
      <c r="D24" s="140"/>
      <c r="E24" s="140"/>
      <c r="F24" s="155"/>
      <c r="G24" s="140"/>
      <c r="H24" s="140"/>
    </row>
    <row r="25" spans="3:8" ht="19" x14ac:dyDescent="0.2">
      <c r="C25" s="3" t="str">
        <f>Recipe!C34</f>
        <v>Ink 1</v>
      </c>
      <c r="D25" s="3">
        <f>Recipe!D34</f>
        <v>0</v>
      </c>
      <c r="E25" s="4">
        <f>IFERROR(VLOOKUP(D25,'Raw Material'!$E$9:$H$72,3,FALSE),0)</f>
        <v>0</v>
      </c>
      <c r="F25" s="3">
        <f>Recipe!E34</f>
        <v>0</v>
      </c>
      <c r="G25" s="5">
        <f>IFERROR(F25/$F$65,0)</f>
        <v>0</v>
      </c>
      <c r="H25" s="4">
        <f>E25/1000*F25</f>
        <v>0</v>
      </c>
    </row>
    <row r="26" spans="3:8" ht="19" x14ac:dyDescent="0.2">
      <c r="C26" s="3" t="str">
        <f>Recipe!C35</f>
        <v>Ink 2</v>
      </c>
      <c r="D26" s="3">
        <f>Recipe!D35</f>
        <v>0</v>
      </c>
      <c r="E26" s="4">
        <f>IFERROR(VLOOKUP(D26,'Raw Material'!$E$9:$H$72,3,FALSE),0)</f>
        <v>0</v>
      </c>
      <c r="F26" s="3">
        <f>Recipe!E35</f>
        <v>0</v>
      </c>
      <c r="G26" s="5">
        <f>IFERROR(F26/$F$65,0)</f>
        <v>0</v>
      </c>
      <c r="H26" s="4">
        <f>E26/1000*F26</f>
        <v>0</v>
      </c>
    </row>
    <row r="27" spans="3:8" ht="19" x14ac:dyDescent="0.2">
      <c r="C27" s="3" t="str">
        <f>Recipe!C36</f>
        <v>Ink 3</v>
      </c>
      <c r="D27" s="3">
        <f>Recipe!D36</f>
        <v>0</v>
      </c>
      <c r="E27" s="4">
        <f>IFERROR(VLOOKUP(D27,'Raw Material'!$E$9:$H$72,3,FALSE),0)</f>
        <v>0</v>
      </c>
      <c r="F27" s="3">
        <f>Recipe!E36</f>
        <v>0</v>
      </c>
      <c r="G27" s="5">
        <f>IFERROR(F27/$F$65,0)</f>
        <v>0</v>
      </c>
      <c r="H27" s="4">
        <f>E27/1000*F27</f>
        <v>0</v>
      </c>
    </row>
    <row r="28" spans="3:8" ht="19" x14ac:dyDescent="0.2">
      <c r="C28" s="3" t="str">
        <f>Recipe!C37</f>
        <v>Ink 4</v>
      </c>
      <c r="D28" s="3">
        <f>Recipe!D37</f>
        <v>0</v>
      </c>
      <c r="E28" s="4">
        <f>IFERROR(VLOOKUP(D28,'Raw Material'!$E$9:$H$72,3,FALSE),0)</f>
        <v>0</v>
      </c>
      <c r="F28" s="3">
        <f>Recipe!E37</f>
        <v>0</v>
      </c>
      <c r="G28" s="5">
        <f>IFERROR(F28/$F$65,0)</f>
        <v>0</v>
      </c>
      <c r="H28" s="4">
        <f>E28/1000*F28</f>
        <v>0</v>
      </c>
    </row>
    <row r="29" spans="3:8" ht="19" x14ac:dyDescent="0.2">
      <c r="C29" s="3" t="str">
        <f>Recipe!C38</f>
        <v>Ink 5</v>
      </c>
      <c r="D29" s="3">
        <f>Recipe!D38</f>
        <v>0</v>
      </c>
      <c r="E29" s="4">
        <f>IFERROR(VLOOKUP(D29,'Raw Material'!$E$9:$H$72,3,FALSE),0)</f>
        <v>0</v>
      </c>
      <c r="F29" s="3">
        <f>Recipe!E38</f>
        <v>0</v>
      </c>
      <c r="G29" s="5">
        <f>IFERROR(F29/$F$65,0)</f>
        <v>0</v>
      </c>
      <c r="H29" s="4">
        <f>E29/1000*F29</f>
        <v>0</v>
      </c>
    </row>
    <row r="30" spans="3:8" ht="19" x14ac:dyDescent="0.2">
      <c r="C30" s="3" t="str">
        <f>Recipe!C39</f>
        <v>Ink 6</v>
      </c>
      <c r="D30" s="3">
        <f>Recipe!D39</f>
        <v>0</v>
      </c>
      <c r="E30" s="4">
        <f>IFERROR(VLOOKUP(D30,'Raw Material'!$E$9:$H$72,3,FALSE),0)</f>
        <v>0</v>
      </c>
      <c r="F30" s="3">
        <f>Recipe!E39</f>
        <v>0</v>
      </c>
      <c r="G30" s="5">
        <f>IFERROR(F30/$F$65,0)</f>
        <v>0</v>
      </c>
      <c r="H30" s="4">
        <f>E30/1000*F30</f>
        <v>0</v>
      </c>
    </row>
    <row r="31" spans="3:8" ht="19" x14ac:dyDescent="0.2">
      <c r="C31" s="3" t="str">
        <f>Recipe!C40</f>
        <v>Ink 7</v>
      </c>
      <c r="D31" s="3">
        <f>Recipe!D40</f>
        <v>0</v>
      </c>
      <c r="E31" s="4">
        <f>IFERROR(VLOOKUP(D31,'Raw Material'!$E$9:$H$72,3,FALSE),0)</f>
        <v>0</v>
      </c>
      <c r="F31" s="3">
        <f>Recipe!E40</f>
        <v>0</v>
      </c>
      <c r="G31" s="5">
        <f>IFERROR(F31/$F$65,0)</f>
        <v>0</v>
      </c>
      <c r="H31" s="4">
        <f>E31/1000*F31</f>
        <v>0</v>
      </c>
    </row>
    <row r="32" spans="3:8" ht="19" x14ac:dyDescent="0.2">
      <c r="C32" s="3" t="str">
        <f>Recipe!C41</f>
        <v>Ink 8</v>
      </c>
      <c r="D32" s="3">
        <f>Recipe!D41</f>
        <v>0</v>
      </c>
      <c r="E32" s="4">
        <f>IFERROR(VLOOKUP(D32,'Raw Material'!$E$9:$H$72,3,FALSE),0)</f>
        <v>0</v>
      </c>
      <c r="F32" s="3">
        <f>Recipe!E41</f>
        <v>0</v>
      </c>
      <c r="G32" s="5">
        <f>IFERROR(F32/$F$65,0)</f>
        <v>0</v>
      </c>
      <c r="H32" s="4">
        <f>E32/1000*F32</f>
        <v>0</v>
      </c>
    </row>
    <row r="33" spans="3:8" ht="19" x14ac:dyDescent="0.2">
      <c r="C33" s="3" t="str">
        <f>Recipe!C42</f>
        <v>Solvent</v>
      </c>
      <c r="D33" s="3">
        <f>Recipe!D42</f>
        <v>0</v>
      </c>
      <c r="E33" s="4">
        <f>IFERROR(VLOOKUP(D33,'Raw Material'!$E$9:$H$72,3,FALSE),0)</f>
        <v>0</v>
      </c>
      <c r="F33" s="3">
        <f>Recipe!E42</f>
        <v>0</v>
      </c>
      <c r="G33" s="5">
        <f>IFERROR(F33/$F$65,0)</f>
        <v>0</v>
      </c>
      <c r="H33" s="4">
        <f>E33/1000*F33</f>
        <v>0</v>
      </c>
    </row>
    <row r="34" spans="3:8" ht="19" x14ac:dyDescent="0.2">
      <c r="C34" s="3" t="str">
        <f>Recipe!C43</f>
        <v>Solvent</v>
      </c>
      <c r="D34" s="3">
        <f>Recipe!D43</f>
        <v>0</v>
      </c>
      <c r="E34" s="4">
        <f>IFERROR(VLOOKUP(D34,'Raw Material'!$E$9:$H$72,3,FALSE),0)</f>
        <v>0</v>
      </c>
      <c r="F34" s="3">
        <f>Recipe!E43</f>
        <v>0</v>
      </c>
      <c r="G34" s="5">
        <f>IFERROR(F34/$F$65,0)</f>
        <v>0</v>
      </c>
      <c r="H34" s="4">
        <f>E34/1000*F34</f>
        <v>0</v>
      </c>
    </row>
    <row r="35" spans="3:8" ht="19" x14ac:dyDescent="0.2">
      <c r="C35" s="3" t="str">
        <f>Recipe!C44</f>
        <v>Solvent</v>
      </c>
      <c r="D35" s="3">
        <f>Recipe!D44</f>
        <v>0</v>
      </c>
      <c r="E35" s="4">
        <f>IFERROR(VLOOKUP(D35,'Raw Material'!$E$9:$H$72,3,FALSE),0)</f>
        <v>0</v>
      </c>
      <c r="F35" s="3">
        <f>Recipe!E44</f>
        <v>0</v>
      </c>
      <c r="G35" s="5">
        <f>IFERROR(F35/$F$65,0)</f>
        <v>0</v>
      </c>
      <c r="H35" s="4">
        <f>E35/1000*F35</f>
        <v>0</v>
      </c>
    </row>
    <row r="36" spans="3:8" ht="19" x14ac:dyDescent="0.2">
      <c r="C36" s="3" t="str">
        <f>Recipe!C45</f>
        <v>Ink Additive</v>
      </c>
      <c r="D36" s="3">
        <f>Recipe!D45</f>
        <v>0</v>
      </c>
      <c r="E36" s="4">
        <f>IFERROR(VLOOKUP(D36,'Raw Material'!$E$9:$H$72,3,FALSE),0)</f>
        <v>0</v>
      </c>
      <c r="F36" s="3">
        <f>Recipe!E45</f>
        <v>0</v>
      </c>
      <c r="G36" s="5">
        <f>IFERROR(F36/$F$65,0)</f>
        <v>0</v>
      </c>
      <c r="H36" s="4">
        <f>E36/1000*F36</f>
        <v>0</v>
      </c>
    </row>
    <row r="37" spans="3:8" x14ac:dyDescent="0.2">
      <c r="C37" s="112" t="s">
        <v>88</v>
      </c>
      <c r="D37" s="113"/>
      <c r="E37" s="114"/>
      <c r="F37" s="160">
        <f>SUM(F25:F36)</f>
        <v>0</v>
      </c>
      <c r="G37" s="162">
        <f>SUM(G25:G36)</f>
        <v>0</v>
      </c>
      <c r="H37" s="132">
        <f>SUM(H25:H36)</f>
        <v>0</v>
      </c>
    </row>
    <row r="38" spans="3:8" x14ac:dyDescent="0.2">
      <c r="C38" s="115"/>
      <c r="D38" s="116"/>
      <c r="E38" s="117"/>
      <c r="F38" s="161"/>
      <c r="G38" s="163"/>
      <c r="H38" s="133"/>
    </row>
    <row r="39" spans="3:8" x14ac:dyDescent="0.2">
      <c r="C39" s="140" t="s">
        <v>83</v>
      </c>
      <c r="D39" s="140" t="s">
        <v>84</v>
      </c>
      <c r="E39" s="140" t="s">
        <v>85</v>
      </c>
      <c r="F39" s="156" t="s">
        <v>86</v>
      </c>
      <c r="G39" s="157"/>
      <c r="H39" s="140" t="s">
        <v>82</v>
      </c>
    </row>
    <row r="40" spans="3:8" x14ac:dyDescent="0.2">
      <c r="C40" s="140"/>
      <c r="D40" s="140"/>
      <c r="E40" s="140"/>
      <c r="F40" s="158"/>
      <c r="G40" s="159"/>
      <c r="H40" s="140"/>
    </row>
    <row r="41" spans="3:8" ht="19" x14ac:dyDescent="0.2">
      <c r="C41" s="3">
        <f>Recipe!H34</f>
        <v>0</v>
      </c>
      <c r="D41" s="3">
        <f>Recipe!I34</f>
        <v>0</v>
      </c>
      <c r="E41" s="4">
        <f>IFERROR(VLOOKUP(D41,'Raw Material'!$E$9:$H$151,3,FALSE),0)</f>
        <v>0</v>
      </c>
      <c r="F41" s="107">
        <f>Recipe!J34</f>
        <v>0</v>
      </c>
      <c r="G41" s="137"/>
      <c r="H41" s="4">
        <f>F41*E41</f>
        <v>0</v>
      </c>
    </row>
    <row r="42" spans="3:8" ht="19" x14ac:dyDescent="0.2">
      <c r="C42" s="3">
        <f>Recipe!H35</f>
        <v>0</v>
      </c>
      <c r="D42" s="3">
        <f>Recipe!I35</f>
        <v>0</v>
      </c>
      <c r="E42" s="4">
        <f>IFERROR(VLOOKUP(D42,'Raw Material'!$E$9:$H$151,3,FALSE),0)</f>
        <v>0</v>
      </c>
      <c r="F42" s="107">
        <f>Recipe!J35</f>
        <v>0</v>
      </c>
      <c r="G42" s="137"/>
      <c r="H42" s="4">
        <f>F42*E42</f>
        <v>0</v>
      </c>
    </row>
    <row r="43" spans="3:8" ht="19" x14ac:dyDescent="0.2">
      <c r="C43" s="3">
        <f>Recipe!H36</f>
        <v>0</v>
      </c>
      <c r="D43" s="3">
        <f>Recipe!I36</f>
        <v>0</v>
      </c>
      <c r="E43" s="4">
        <f>IFERROR(VLOOKUP(D43,'Raw Material'!$E$9:$H$151,3,FALSE),0)</f>
        <v>0</v>
      </c>
      <c r="F43" s="107">
        <f>Recipe!J36</f>
        <v>0</v>
      </c>
      <c r="G43" s="137"/>
      <c r="H43" s="4">
        <f>F43*E43</f>
        <v>0</v>
      </c>
    </row>
    <row r="44" spans="3:8" ht="19" x14ac:dyDescent="0.2">
      <c r="C44" s="3">
        <f>Recipe!H37</f>
        <v>0</v>
      </c>
      <c r="D44" s="3">
        <f>Recipe!I37</f>
        <v>0</v>
      </c>
      <c r="E44" s="4">
        <f>IFERROR(VLOOKUP(D44,'Raw Material'!$E$9:$H$151,3,FALSE),0)</f>
        <v>0</v>
      </c>
      <c r="F44" s="107">
        <f>Recipe!J37</f>
        <v>0</v>
      </c>
      <c r="G44" s="137"/>
      <c r="H44" s="4">
        <f>F44*E44</f>
        <v>0</v>
      </c>
    </row>
    <row r="45" spans="3:8" ht="19" x14ac:dyDescent="0.2">
      <c r="C45" s="3">
        <f>Recipe!H38</f>
        <v>0</v>
      </c>
      <c r="D45" s="3">
        <f>Recipe!I38</f>
        <v>0</v>
      </c>
      <c r="E45" s="4">
        <f>IFERROR(VLOOKUP(D45,'Raw Material'!$E$9:$H$151,3,FALSE),0)</f>
        <v>0</v>
      </c>
      <c r="F45" s="107">
        <f>Recipe!J38</f>
        <v>0</v>
      </c>
      <c r="G45" s="137"/>
      <c r="H45" s="4">
        <f>F45*E45</f>
        <v>0</v>
      </c>
    </row>
    <row r="46" spans="3:8" ht="19" x14ac:dyDescent="0.2">
      <c r="C46" s="3">
        <f>Recipe!H39</f>
        <v>0</v>
      </c>
      <c r="D46" s="3">
        <f>Recipe!I39</f>
        <v>0</v>
      </c>
      <c r="E46" s="4">
        <f>IFERROR(VLOOKUP(D46,'Raw Material'!$E$9:$H$151,3,FALSE),0)</f>
        <v>0</v>
      </c>
      <c r="F46" s="107">
        <f>Recipe!J39</f>
        <v>0</v>
      </c>
      <c r="G46" s="137"/>
      <c r="H46" s="4">
        <f>F46*E46</f>
        <v>0</v>
      </c>
    </row>
    <row r="47" spans="3:8" ht="19" x14ac:dyDescent="0.2">
      <c r="C47" s="3">
        <f>Recipe!H40</f>
        <v>0</v>
      </c>
      <c r="D47" s="3">
        <f>Recipe!I40</f>
        <v>0</v>
      </c>
      <c r="E47" s="4">
        <f>IFERROR(VLOOKUP(D47,'Raw Material'!$E$9:$H$151,3,FALSE),0)</f>
        <v>0</v>
      </c>
      <c r="F47" s="107">
        <f>Recipe!J40</f>
        <v>0</v>
      </c>
      <c r="G47" s="137"/>
      <c r="H47" s="4">
        <f>F47*E47</f>
        <v>0</v>
      </c>
    </row>
    <row r="48" spans="3:8" ht="19" x14ac:dyDescent="0.2">
      <c r="C48" s="3">
        <f>Recipe!H41</f>
        <v>0</v>
      </c>
      <c r="D48" s="3">
        <f>Recipe!I41</f>
        <v>0</v>
      </c>
      <c r="E48" s="4">
        <f>IFERROR(VLOOKUP(D48,'Raw Material'!$E$9:$H$151,3,FALSE),0)</f>
        <v>0</v>
      </c>
      <c r="F48" s="107">
        <f>Recipe!J41</f>
        <v>0</v>
      </c>
      <c r="G48" s="137"/>
      <c r="H48" s="4">
        <f>F48*E48</f>
        <v>0</v>
      </c>
    </row>
    <row r="49" spans="3:8" ht="19" x14ac:dyDescent="0.2">
      <c r="C49" s="3">
        <f>Recipe!H42</f>
        <v>0</v>
      </c>
      <c r="D49" s="3">
        <f>Recipe!I42</f>
        <v>0</v>
      </c>
      <c r="E49" s="4">
        <f>IFERROR(VLOOKUP(D49,'Raw Material'!$E$9:$H$151,3,FALSE),0)</f>
        <v>0</v>
      </c>
      <c r="F49" s="107">
        <f>Recipe!J42</f>
        <v>0</v>
      </c>
      <c r="G49" s="137"/>
      <c r="H49" s="4">
        <f>F49*E49</f>
        <v>0</v>
      </c>
    </row>
    <row r="50" spans="3:8" ht="19" x14ac:dyDescent="0.2">
      <c r="C50" s="3">
        <f>Recipe!H43</f>
        <v>0</v>
      </c>
      <c r="D50" s="3">
        <f>Recipe!I43</f>
        <v>0</v>
      </c>
      <c r="E50" s="4">
        <f>IFERROR(VLOOKUP(D50,'Raw Material'!$E$9:$H$151,3,FALSE),0)</f>
        <v>0</v>
      </c>
      <c r="F50" s="107">
        <f>Recipe!J43</f>
        <v>0</v>
      </c>
      <c r="G50" s="137"/>
      <c r="H50" s="4">
        <f>F50*E50</f>
        <v>0</v>
      </c>
    </row>
    <row r="51" spans="3:8" ht="19" x14ac:dyDescent="0.2">
      <c r="C51" s="3">
        <f>Recipe!H44</f>
        <v>0</v>
      </c>
      <c r="D51" s="3">
        <f>Recipe!I44</f>
        <v>0</v>
      </c>
      <c r="E51" s="4">
        <f>IFERROR(VLOOKUP(D51,'Raw Material'!$E$9:$H$151,3,FALSE),0)</f>
        <v>0</v>
      </c>
      <c r="F51" s="107">
        <f>Recipe!J44</f>
        <v>0</v>
      </c>
      <c r="G51" s="137"/>
      <c r="H51" s="4">
        <f>F51*E51</f>
        <v>0</v>
      </c>
    </row>
    <row r="52" spans="3:8" ht="19" x14ac:dyDescent="0.2">
      <c r="C52" s="3">
        <f>Recipe!H45</f>
        <v>0</v>
      </c>
      <c r="D52" s="3">
        <f>Recipe!I45</f>
        <v>0</v>
      </c>
      <c r="E52" s="4">
        <f>IFERROR(VLOOKUP(D52,'Raw Material'!$E$9:$H$151,3,FALSE),0)</f>
        <v>0</v>
      </c>
      <c r="F52" s="107">
        <f>Recipe!J45</f>
        <v>0</v>
      </c>
      <c r="G52" s="137"/>
      <c r="H52" s="4">
        <f>F52*E52</f>
        <v>0</v>
      </c>
    </row>
    <row r="53" spans="3:8" x14ac:dyDescent="0.2">
      <c r="C53" s="112" t="s">
        <v>87</v>
      </c>
      <c r="D53" s="113"/>
      <c r="E53" s="114"/>
      <c r="F53" s="112">
        <f>SUM(F41:F52)</f>
        <v>0</v>
      </c>
      <c r="G53" s="114"/>
      <c r="H53" s="132">
        <f>SUM(H41:H52)</f>
        <v>0</v>
      </c>
    </row>
    <row r="54" spans="3:8" x14ac:dyDescent="0.2">
      <c r="C54" s="115"/>
      <c r="D54" s="116"/>
      <c r="E54" s="117"/>
      <c r="F54" s="115"/>
      <c r="G54" s="117"/>
      <c r="H54" s="133"/>
    </row>
    <row r="55" spans="3:8" ht="19" x14ac:dyDescent="0.2">
      <c r="C55" s="142" t="s">
        <v>7</v>
      </c>
      <c r="D55" s="142"/>
      <c r="E55" s="142"/>
      <c r="F55" s="135">
        <f>Recipe!D58</f>
        <v>0</v>
      </c>
      <c r="G55" s="136"/>
      <c r="H55" s="4">
        <f>F55*(H21+H37)</f>
        <v>0</v>
      </c>
    </row>
    <row r="56" spans="3:8" ht="19" x14ac:dyDescent="0.2">
      <c r="C56" s="142" t="s">
        <v>8</v>
      </c>
      <c r="D56" s="142"/>
      <c r="E56" s="142"/>
      <c r="F56" s="107"/>
      <c r="G56" s="137"/>
      <c r="H56" s="11"/>
    </row>
    <row r="57" spans="3:8" x14ac:dyDescent="0.2">
      <c r="C57" s="112" t="s">
        <v>90</v>
      </c>
      <c r="D57" s="113"/>
      <c r="E57" s="114"/>
      <c r="F57" s="118">
        <f>H56+H55+H53+H37+H21</f>
        <v>0</v>
      </c>
      <c r="G57" s="119"/>
      <c r="H57" s="120"/>
    </row>
    <row r="58" spans="3:8" x14ac:dyDescent="0.2">
      <c r="C58" s="115"/>
      <c r="D58" s="116"/>
      <c r="E58" s="117"/>
      <c r="F58" s="121"/>
      <c r="G58" s="122"/>
      <c r="H58" s="123"/>
    </row>
    <row r="59" spans="3:8" ht="19" x14ac:dyDescent="0.2">
      <c r="C59" s="107" t="s">
        <v>9</v>
      </c>
      <c r="D59" s="108"/>
      <c r="E59" s="108"/>
      <c r="F59" s="137"/>
      <c r="G59" s="28"/>
      <c r="H59" s="4">
        <f>F57*G59</f>
        <v>0</v>
      </c>
    </row>
    <row r="60" spans="3:8" x14ac:dyDescent="0.2">
      <c r="C60" s="124" t="s">
        <v>10</v>
      </c>
      <c r="D60" s="125"/>
      <c r="E60" s="125"/>
      <c r="F60" s="128">
        <f>F57+H59</f>
        <v>0</v>
      </c>
      <c r="G60" s="128"/>
      <c r="H60" s="129"/>
    </row>
    <row r="61" spans="3:8" x14ac:dyDescent="0.2">
      <c r="C61" s="126"/>
      <c r="D61" s="127"/>
      <c r="E61" s="127"/>
      <c r="F61" s="130"/>
      <c r="G61" s="130"/>
      <c r="H61" s="131"/>
    </row>
    <row r="62" spans="3:8" ht="19" x14ac:dyDescent="0.2">
      <c r="C62" s="107" t="s">
        <v>11</v>
      </c>
      <c r="D62" s="108"/>
      <c r="E62" s="108"/>
      <c r="F62" s="109"/>
      <c r="G62" s="110"/>
      <c r="H62" s="111"/>
    </row>
    <row r="63" spans="3:8" x14ac:dyDescent="0.2">
      <c r="C63" s="141" t="s">
        <v>12</v>
      </c>
      <c r="D63" s="141"/>
      <c r="E63" s="141"/>
      <c r="F63" s="134">
        <f>F60/1000000*F62</f>
        <v>0</v>
      </c>
      <c r="G63" s="134"/>
      <c r="H63" s="134"/>
    </row>
    <row r="64" spans="3:8" x14ac:dyDescent="0.2">
      <c r="C64" s="141"/>
      <c r="D64" s="141"/>
      <c r="E64" s="141"/>
      <c r="F64" s="134"/>
      <c r="G64" s="134"/>
      <c r="H64" s="134"/>
    </row>
  </sheetData>
  <mergeCells count="54">
    <mergeCell ref="F62:H62"/>
    <mergeCell ref="C57:E58"/>
    <mergeCell ref="F57:H58"/>
    <mergeCell ref="C60:E61"/>
    <mergeCell ref="F60:H61"/>
    <mergeCell ref="H53:H54"/>
    <mergeCell ref="C53:E54"/>
    <mergeCell ref="F43:G43"/>
    <mergeCell ref="F44:G44"/>
    <mergeCell ref="F45:G45"/>
    <mergeCell ref="F46:G46"/>
    <mergeCell ref="F63:H64"/>
    <mergeCell ref="F53:G54"/>
    <mergeCell ref="F55:G55"/>
    <mergeCell ref="F52:G52"/>
    <mergeCell ref="C62:E62"/>
    <mergeCell ref="C63:E64"/>
    <mergeCell ref="C59:F59"/>
    <mergeCell ref="C56:E56"/>
    <mergeCell ref="F56:G56"/>
    <mergeCell ref="F47:G47"/>
    <mergeCell ref="F48:G48"/>
    <mergeCell ref="F49:G49"/>
    <mergeCell ref="F50:G50"/>
    <mergeCell ref="F51:G51"/>
    <mergeCell ref="C55:E55"/>
    <mergeCell ref="F23:F24"/>
    <mergeCell ref="F5:F6"/>
    <mergeCell ref="G5:G6"/>
    <mergeCell ref="H5:H6"/>
    <mergeCell ref="C5:C6"/>
    <mergeCell ref="E5:E6"/>
    <mergeCell ref="C23:C24"/>
    <mergeCell ref="D5:D6"/>
    <mergeCell ref="E39:E40"/>
    <mergeCell ref="B2:I2"/>
    <mergeCell ref="G23:G24"/>
    <mergeCell ref="H23:H24"/>
    <mergeCell ref="C21:E22"/>
    <mergeCell ref="F21:F22"/>
    <mergeCell ref="G21:G22"/>
    <mergeCell ref="H21:H22"/>
    <mergeCell ref="D23:D24"/>
    <mergeCell ref="E23:E24"/>
    <mergeCell ref="F41:G41"/>
    <mergeCell ref="F42:G42"/>
    <mergeCell ref="H37:H38"/>
    <mergeCell ref="C39:C40"/>
    <mergeCell ref="H39:H40"/>
    <mergeCell ref="F39:G40"/>
    <mergeCell ref="F37:F38"/>
    <mergeCell ref="G37:G38"/>
    <mergeCell ref="C37:E38"/>
    <mergeCell ref="D39:D40"/>
  </mergeCells>
  <conditionalFormatting sqref="F62">
    <cfRule type="containsBlanks" dxfId="2" priority="3" stopIfTrue="1">
      <formula>LEN(TRIM(F62))=0</formula>
    </cfRule>
  </conditionalFormatting>
  <conditionalFormatting sqref="G59">
    <cfRule type="containsBlanks" dxfId="1" priority="2" stopIfTrue="1">
      <formula>LEN(TRIM(G59))=0</formula>
    </cfRule>
  </conditionalFormatting>
  <conditionalFormatting sqref="H56">
    <cfRule type="containsBlanks" dxfId="0" priority="1" stopIfTrue="1">
      <formula>LEN(TRIM(H56))=0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 Material</vt:lpstr>
      <vt:lpstr>Recipe</vt:lpstr>
      <vt:lpstr>Cost</vt:lpstr>
      <vt:lpstr>Recipe!Print_Area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Samy</dc:creator>
  <cp:lastModifiedBy>Ahmed Samy</cp:lastModifiedBy>
  <dcterms:created xsi:type="dcterms:W3CDTF">2026-04-03T06:06:04Z</dcterms:created>
  <dcterms:modified xsi:type="dcterms:W3CDTF">2026-04-08T15:30:51Z</dcterms:modified>
</cp:coreProperties>
</file>